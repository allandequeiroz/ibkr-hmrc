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9" i="1" l="1"/>
</calcChain>
</file>

<file path=xl/sharedStrings.xml><?xml version="1.0" encoding="utf-8"?>
<sst xmlns="http://schemas.openxmlformats.org/spreadsheetml/2006/main" count="1987" uniqueCount="267">
  <si>
    <t>Transaction Detail by Account</t>
  </si>
  <si>
    <t>CAESARIS DENARII LIMITED</t>
  </si>
  <si>
    <t>21 February, 2025-30 January, 2026</t>
  </si>
  <si>
    <t>Barclays</t>
  </si>
  <si>
    <t>26/02/2025</t>
  </si>
  <si>
    <t>Deposit</t>
  </si>
  <si>
    <t/>
  </si>
  <si>
    <t>DE QUEIROZ A  DIRECTOR FT</t>
  </si>
  <si>
    <t>Other loans</t>
  </si>
  <si>
    <t>Expense</t>
  </si>
  <si>
    <t>IBKR  OBK398907884 FT</t>
  </si>
  <si>
    <t>Ordinary share capital</t>
  </si>
  <si>
    <t>03/03/2025</t>
  </si>
  <si>
    <t>VIKING  ON 01 MAR BDC</t>
  </si>
  <si>
    <t>Office expenses, repairs &amp; maintenance</t>
  </si>
  <si>
    <t>07/03/2025</t>
  </si>
  <si>
    <t>TAXASSIST ACCOUNTS 166CAE1 FIRST DDR PAYMENT DDR</t>
  </si>
  <si>
    <t>Legal and professional fees</t>
  </si>
  <si>
    <t>07/04/2025</t>
  </si>
  <si>
    <t>TAXASSIST ACCOUNTS  166CAE1 DDR</t>
  </si>
  <si>
    <t>15/04/2025</t>
  </si>
  <si>
    <t>SP NYU STERN EXEC USA AMOUNT IN USD 1936.00 ON 14 APR VISA 1.295699 FINAL GBP AMOUNT INCLUDES NON-STERLING TRANS FEE £41.09</t>
  </si>
  <si>
    <t>Training</t>
  </si>
  <si>
    <t>28/04/2025</t>
  </si>
  <si>
    <t>PAYPAL *CLEVERBRID GERMANY ON 24 APR BDC</t>
  </si>
  <si>
    <t>Subscriptions</t>
  </si>
  <si>
    <t>07/05/2025</t>
  </si>
  <si>
    <t>09/06/2025</t>
  </si>
  <si>
    <t>D J*MARKETWATCH USA ON 08 JUN BDC</t>
  </si>
  <si>
    <t>07/07/2025</t>
  </si>
  <si>
    <t>D J*MARKETWATCH USA ON 06 JUL BDC</t>
  </si>
  <si>
    <t>21/07/2025</t>
  </si>
  <si>
    <t>Microsoft</t>
  </si>
  <si>
    <t>MICROSOFT#G1030369  ON 20 JUL BDC</t>
  </si>
  <si>
    <t>ALLAN DE QUEIROZ  DIRECTOR BBP</t>
  </si>
  <si>
    <t>Directors' remuneration</t>
  </si>
  <si>
    <t>04/08/2025</t>
  </si>
  <si>
    <t>D J*MARKETWATCH USA ON 03 AUG BDC</t>
  </si>
  <si>
    <t>08/08/2025</t>
  </si>
  <si>
    <t>ALLAN DE QUEIROZ  DIRECTOR LOAN BBP</t>
  </si>
  <si>
    <t>06/11/2025</t>
  </si>
  <si>
    <t>PAYPAL *CLEVERBRID GERMANY ON 05 NOV BDC</t>
  </si>
  <si>
    <t>Total for Barclays</t>
  </si>
  <si>
    <t>Wise</t>
  </si>
  <si>
    <t>19/05/2025</t>
  </si>
  <si>
    <t>Cheque</t>
  </si>
  <si>
    <t>Opening Balance from Bank</t>
  </si>
  <si>
    <t>Retained profit balance forward account</t>
  </si>
  <si>
    <t>Topped up account</t>
  </si>
  <si>
    <t>Other finance income</t>
  </si>
  <si>
    <t>No information</t>
  </si>
  <si>
    <t>Sundry expenses</t>
  </si>
  <si>
    <t>Wise Charges for: TRANSFER-XXXXXX9888</t>
  </si>
  <si>
    <t>Bank charges</t>
  </si>
  <si>
    <t>Received money from CAESARIS DENARII LIMITED with reference 2.16</t>
  </si>
  <si>
    <t>24/07/2025</t>
  </si>
  <si>
    <t>Wise Charges for: CARD-XXXXXX0053</t>
  </si>
  <si>
    <t>Card transaction of USD issued by Xai Llc XAI/ABOUT 0.49</t>
  </si>
  <si>
    <t>Research</t>
  </si>
  <si>
    <t>01/08/2025</t>
  </si>
  <si>
    <t>Wise Charges for: CARD-XXXXXX0585</t>
  </si>
  <si>
    <t>Card transaction of USD issued by Earnings Hub Pro SAVVYTRADERC 0.23</t>
  </si>
  <si>
    <t>Google</t>
  </si>
  <si>
    <t>Card transaction of GBP issued by Google One London</t>
  </si>
  <si>
    <t>Computer running costs</t>
  </si>
  <si>
    <t>06/08/2025</t>
  </si>
  <si>
    <t>Sent money to HMRC Shipley</t>
  </si>
  <si>
    <t>Directors' pension costs</t>
  </si>
  <si>
    <t>07/08/2025</t>
  </si>
  <si>
    <t>Sent money to TaxAssist Accountants</t>
  </si>
  <si>
    <t>Wise Charges for: CARD-XXXXXX7640</t>
  </si>
  <si>
    <t>Card transaction of USD issued by Earning Whispers Com - 0.13</t>
  </si>
  <si>
    <t>11/08/2025</t>
  </si>
  <si>
    <t>Sent money to Allan de Queiroz</t>
  </si>
  <si>
    <t>15/08/2025</t>
  </si>
  <si>
    <t>Wise Charges for: CARD-XXXXXX4445</t>
  </si>
  <si>
    <t>Card transaction of USD issued by Xai Llc XAI/ABOUT 0.77</t>
  </si>
  <si>
    <t>16/08/2025</t>
  </si>
  <si>
    <t>Amazon</t>
  </si>
  <si>
    <t>Card transaction of GBP issued by Amazon* RmhmddLONDON</t>
  </si>
  <si>
    <t>Computer equipment additions at cost</t>
  </si>
  <si>
    <t>18/08/2025</t>
  </si>
  <si>
    <t>Card transaction of GBP issued by Amazon* RuuLONDON</t>
  </si>
  <si>
    <t>20/08/2025</t>
  </si>
  <si>
    <t>Card transaction of GBP issued by Microsoft#gMSBILLINFO</t>
  </si>
  <si>
    <t>24/08/2025</t>
  </si>
  <si>
    <t>Wise Charges for: CARD-XXXXXX1129</t>
  </si>
  <si>
    <t>Card transaction of USD issued by Wwwperplexityai WWWPERPLEXIT 0.05</t>
  </si>
  <si>
    <t>26/08/2025</t>
  </si>
  <si>
    <t>Card transaction of GBP issued by Openai *Chatgpt Subscr OPENAICOM</t>
  </si>
  <si>
    <t>27/08/2025</t>
  </si>
  <si>
    <t>Card transaction of -GBP issued by Google One London</t>
  </si>
  <si>
    <t>29/08/2025</t>
  </si>
  <si>
    <t>Card transaction of GBP issued by Amazon* RweybLONDON</t>
  </si>
  <si>
    <t>01/09/2025</t>
  </si>
  <si>
    <t>Card Cashback</t>
  </si>
  <si>
    <t>Paid to APS Re A4G LLP</t>
  </si>
  <si>
    <t>08/09/2025</t>
  </si>
  <si>
    <t>Wise Charges for: CARD-XXXXXX1094</t>
  </si>
  <si>
    <t>Card transaction of USD issued by Wwwperplexityai WWWPERPLEXIT 0.24</t>
  </si>
  <si>
    <t>10/09/2025</t>
  </si>
  <si>
    <t>Card transaction of GBP issued by Amazon* ZtgLONDON</t>
  </si>
  <si>
    <t>11/09/2025</t>
  </si>
  <si>
    <t>12/09/2025</t>
  </si>
  <si>
    <t>Sent money to HMRC</t>
  </si>
  <si>
    <t>16/09/2025</t>
  </si>
  <si>
    <t>Wise Charges for: CARD-XXXXXX8353</t>
  </si>
  <si>
    <t>Card transaction of USD issued by CursorAi Powered Ide CURSORCOM 0.05</t>
  </si>
  <si>
    <t>18/09/2025</t>
  </si>
  <si>
    <t>Wise Charges for: CARD-XXXXXX2412</t>
  </si>
  <si>
    <t>19/09/2025</t>
  </si>
  <si>
    <t>Wise Charges for: TRANSFER-XXXXXX7016</t>
  </si>
  <si>
    <t>20/09/2025</t>
  </si>
  <si>
    <t>23/09/2025</t>
  </si>
  <si>
    <t>Card transaction of GBP issued by Paypal *Worldbooksl</t>
  </si>
  <si>
    <t>Ebay</t>
  </si>
  <si>
    <t>Card transaction of GBP issued by Paypal *Ebay Uk</t>
  </si>
  <si>
    <t>Card transaction of GBP issued by Amznmktplace*Jmrwwtamazoncouk</t>
  </si>
  <si>
    <t>24/09/2025</t>
  </si>
  <si>
    <t>Card transaction of GBP issued by Amznmktplace*Tokpeamazoncouk</t>
  </si>
  <si>
    <t>26/09/2025</t>
  </si>
  <si>
    <t>Wise Charges for: CARD-XXXXXX8346</t>
  </si>
  <si>
    <t>Card transaction of USD issued by Quickfsnet Premium QUICKFSNET 0.09</t>
  </si>
  <si>
    <t>27/09/2025</t>
  </si>
  <si>
    <t>Card transaction of GBP issued by Zoomcom --ZOOMUS</t>
  </si>
  <si>
    <t>29/09/2025</t>
  </si>
  <si>
    <t>Directors' loan repayment</t>
  </si>
  <si>
    <t>30/09/2025</t>
  </si>
  <si>
    <t>Wise Charges for: CARD-XXXXXX3269</t>
  </si>
  <si>
    <t>Card transaction of USD issued by Financialmodelingprep TORONTO 0.18</t>
  </si>
  <si>
    <t>01/10/2025</t>
  </si>
  <si>
    <t>07/10/2025</t>
  </si>
  <si>
    <t>Card transaction of GBP issued by D J*Wsj --</t>
  </si>
  <si>
    <t>10/10/2025</t>
  </si>
  <si>
    <t>Wise Charges for: CARD-XXXXXX8675</t>
  </si>
  <si>
    <t>Services ( 6 )</t>
  </si>
  <si>
    <t>Card transaction of USD issued by Wwwperplexityai WWWPERPLEXIT 0.52</t>
  </si>
  <si>
    <t>11/10/2025</t>
  </si>
  <si>
    <t>16/10/2025</t>
  </si>
  <si>
    <t>Wise Charges for: CARD-XXXXXX7514</t>
  </si>
  <si>
    <t>Card transaction of USD issued by Financialmodelingprep TORONTO 0.08</t>
  </si>
  <si>
    <t>17/10/2025</t>
  </si>
  <si>
    <t>Apple</t>
  </si>
  <si>
    <t>Card transaction of GBP issued by Paypal *Appleuk</t>
  </si>
  <si>
    <t>Card transaction of GBP issued by Amazon* EkxodlLONDON</t>
  </si>
  <si>
    <t>Card transaction of GBP issued by Paypal *Ocuklimited</t>
  </si>
  <si>
    <t>Card transaction of GBP issued by Paypal *Scancompute</t>
  </si>
  <si>
    <t>Card transaction of GBP issued by Paypal *Mr Memory</t>
  </si>
  <si>
    <t>19/10/2025</t>
  </si>
  <si>
    <t>Card transaction of GBP issued by Amznmktplace*chnxamazoncouk</t>
  </si>
  <si>
    <t>20/10/2025</t>
  </si>
  <si>
    <t>23/10/2025</t>
  </si>
  <si>
    <t>Card transaction of GBP issued by Amazon* GfhLONDON</t>
  </si>
  <si>
    <t>Card transaction of GBP issued by Amznmktplace*Otgamazoncouk</t>
  </si>
  <si>
    <t>24/10/2025</t>
  </si>
  <si>
    <t>QuickBooks Payments</t>
  </si>
  <si>
    <t>Card transaction of GBP issued by Intuit *Qbooks Online</t>
  </si>
  <si>
    <t>Card transaction of GBP issued by Amazon Uk* HyaficLONDON</t>
  </si>
  <si>
    <t>26/10/2025</t>
  </si>
  <si>
    <t>Card transaction of -GBP issued by Amznmktplace amazoncouk</t>
  </si>
  <si>
    <t>27/10/2025</t>
  </si>
  <si>
    <t>Card transaction of GBP issued by Xero Uk Inv-MILTON KEYNES</t>
  </si>
  <si>
    <t>28/10/2025</t>
  </si>
  <si>
    <t>Card transaction of -GBP issued by Paypal *Ebay Uk</t>
  </si>
  <si>
    <t>29/10/2025</t>
  </si>
  <si>
    <t>Card transaction of GBP issued by Amazoncouk*ZrwioAMAZONCOUK</t>
  </si>
  <si>
    <t>30/10/2025</t>
  </si>
  <si>
    <t>Card transaction of USD issued by Financialmodelingprep TORONTO 0.37</t>
  </si>
  <si>
    <t>Wise Charges for: CARD-XXXXXX0391</t>
  </si>
  <si>
    <t>03/11/2025</t>
  </si>
  <si>
    <t>AG LLP</t>
  </si>
  <si>
    <t>04/11/2025</t>
  </si>
  <si>
    <t>Dow Jones</t>
  </si>
  <si>
    <t>08/11/2025</t>
  </si>
  <si>
    <t>Claude</t>
  </si>
  <si>
    <t>Card transaction of GBP issued by Claudeai Subscription ANTHROPICCOM</t>
  </si>
  <si>
    <t>10/11/2025</t>
  </si>
  <si>
    <t>Wise Charges for: CARD-XXXXXX7892</t>
  </si>
  <si>
    <t>Perplexity</t>
  </si>
  <si>
    <t>Card transaction of USD issued by Wwwperplexityai WWWPERPLEXIT 0.63</t>
  </si>
  <si>
    <t>11/11/2025</t>
  </si>
  <si>
    <t>16/11/2025</t>
  </si>
  <si>
    <t>Owners loan repayment</t>
  </si>
  <si>
    <t>20/11/2025</t>
  </si>
  <si>
    <t>Card transaction of GBP issued by Microsoft-Gmsbillinfo</t>
  </si>
  <si>
    <t>23/11/2025</t>
  </si>
  <si>
    <t>Card transaction of BRL issued by Amazon Br SAO PAULO 0.03</t>
  </si>
  <si>
    <t>Wise Charges for: CARD-XXXXXX5902</t>
  </si>
  <si>
    <t>24/11/2025</t>
  </si>
  <si>
    <t>30/11/2025</t>
  </si>
  <si>
    <t>Wise Charges for: CARD-XXXXXX4494</t>
  </si>
  <si>
    <t>Financial Modeling Prep</t>
  </si>
  <si>
    <t>01/12/2025</t>
  </si>
  <si>
    <t>02/12/2025</t>
  </si>
  <si>
    <t>08/12/2025</t>
  </si>
  <si>
    <t>09/12/2025</t>
  </si>
  <si>
    <t>OpenAI</t>
  </si>
  <si>
    <t>10/12/2025</t>
  </si>
  <si>
    <t>11/12/2025</t>
  </si>
  <si>
    <t>20/12/2025</t>
  </si>
  <si>
    <t>21/12/2025</t>
  </si>
  <si>
    <t>Card transaction of GBP issued by Google *Google One gco/helppay#</t>
  </si>
  <si>
    <t>23/12/2025</t>
  </si>
  <si>
    <t>Wise Charges for: TRANSFER-XXXXXX9688</t>
  </si>
  <si>
    <t>Wise Charges for: TRANSFER-XXXXXX1133</t>
  </si>
  <si>
    <t>Wise Charges for: TRANSFER-XXXXXX1114</t>
  </si>
  <si>
    <t>Wise Charges for: TRANSFER-XXXXXX2197</t>
  </si>
  <si>
    <t>24/12/2025</t>
  </si>
  <si>
    <t>30/12/2025</t>
  </si>
  <si>
    <t>Wise Charges for: CARD-XXXXXX1792</t>
  </si>
  <si>
    <t>Card transaction of USD issued by Financialmodelingprep TORONTO 0.36</t>
  </si>
  <si>
    <t>01/01/2026</t>
  </si>
  <si>
    <t>Card transaction of -GBP issued by Openai *Chatgpt Subscr SAN FRANCISCO</t>
  </si>
  <si>
    <t>02/01/2026</t>
  </si>
  <si>
    <t>Wise Charges for: TRANSFER-XXXXXX4407</t>
  </si>
  <si>
    <t>05/01/2026</t>
  </si>
  <si>
    <t>Card transaction of GBP issued by Amznmktplace*Zcrjamazoncouk</t>
  </si>
  <si>
    <t>08/01/2026</t>
  </si>
  <si>
    <t>09/01/2026</t>
  </si>
  <si>
    <t>Sent money to AG LLP</t>
  </si>
  <si>
    <t>10/01/2026</t>
  </si>
  <si>
    <t>Wise Charges for: CARD-XXXXXX7719</t>
  </si>
  <si>
    <t>Card transaction of USD issued by Bionic Reading Ag CHUR 0.02</t>
  </si>
  <si>
    <t>Software License</t>
  </si>
  <si>
    <t>11/01/2026</t>
  </si>
  <si>
    <t>12/01/2026</t>
  </si>
  <si>
    <t>19/01/2026</t>
  </si>
  <si>
    <t>20/01/2026</t>
  </si>
  <si>
    <t>Card transaction of GBP issued by Microsoft Payments MSBILLINFO</t>
  </si>
  <si>
    <t>21/01/2026</t>
  </si>
  <si>
    <t>Card transaction of GBP issued by Paypro Europe Limited LONDON</t>
  </si>
  <si>
    <t>24/01/2026</t>
  </si>
  <si>
    <t>Intuit</t>
  </si>
  <si>
    <t>28/01/2026</t>
  </si>
  <si>
    <t>Wise Charges for: CARD-XXXXXX3781</t>
  </si>
  <si>
    <t>Michae Burry</t>
  </si>
  <si>
    <t>Card transaction of GBP issued by Michaeljburrysubstack MICHAELJBURRY</t>
  </si>
  <si>
    <t>Total for Wise</t>
  </si>
  <si>
    <t>Total for Computer equipment additions at cost</t>
  </si>
  <si>
    <t>Total for Other loans</t>
  </si>
  <si>
    <t>Total for Owners loan repayment</t>
  </si>
  <si>
    <t>Total for Directors' loan repayment</t>
  </si>
  <si>
    <t>Total for Ordinary share capital</t>
  </si>
  <si>
    <t>Total for Retained profit balance forward account</t>
  </si>
  <si>
    <t>Total for Services ( 6 )</t>
  </si>
  <si>
    <t>Total for Bank charges</t>
  </si>
  <si>
    <t>Total for Computer running costs</t>
  </si>
  <si>
    <t>Total for Directors' pension costs</t>
  </si>
  <si>
    <t>Total for Directors' remuneration</t>
  </si>
  <si>
    <t>Total for Legal and professional fees</t>
  </si>
  <si>
    <t>Total for Office expenses, repairs &amp; maintenance</t>
  </si>
  <si>
    <t>Total for Research</t>
  </si>
  <si>
    <t>Total for Software License</t>
  </si>
  <si>
    <t>Total for Subscriptions</t>
  </si>
  <si>
    <t>Total for Sundry expenses</t>
  </si>
  <si>
    <t>Total for Training</t>
  </si>
  <si>
    <t>Total for Other finance income</t>
  </si>
  <si>
    <t>TOTAL</t>
  </si>
  <si>
    <t>Transaction date</t>
  </si>
  <si>
    <t>Transaction type</t>
  </si>
  <si>
    <t>No.</t>
  </si>
  <si>
    <t>Name</t>
  </si>
  <si>
    <t>Memo/Description</t>
  </si>
  <si>
    <t>Item split account full name</t>
  </si>
  <si>
    <t>Amount</t>
  </si>
  <si>
    <t>Balance</t>
  </si>
  <si>
    <t>Cash Basis Friday, 30 January 2026 07:55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</si>
</sst>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£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374"/>
  <sheetViews>
    <sheetView tabSelected="1" workbookViewId="0" topLeftCell="A1"/>
  </sheetViews>
  <sheetFormatPr defaultColWidth="11.255" defaultRowHeight="16" outlineLevelRow="1"/>
  <cols>
    <col min="1" max="1" width="42.75" style="23" customWidth="1"/>
    <col min="2" max="3" width="14.375" style="23" customWidth="1"/>
    <col min="4" max="4" width="7.5" style="23" customWidth="1"/>
    <col min="5" max="5" width="20.375" style="23" customWidth="1"/>
    <col min="6" max="6" width="86.625" style="23" customWidth="1"/>
    <col min="7" max="7" width="34.125" style="23" customWidth="1"/>
    <col min="8" max="8" width="17" style="23" customWidth="1"/>
    <col min="9" max="9" width="19.5" style="23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2:9" ht="16">
      <c r="B5" s="25" t="s">
        <v>258</v>
      </c>
      <c r="C5" s="25" t="s">
        <v>259</v>
      </c>
      <c r="D5" s="25" t="s">
        <v>260</v>
      </c>
      <c r="E5" s="25" t="s">
        <v>261</v>
      </c>
      <c r="F5" s="25" t="s">
        <v>262</v>
      </c>
      <c r="G5" s="25" t="s">
        <v>263</v>
      </c>
      <c r="H5" s="25" t="s">
        <v>264</v>
      </c>
      <c r="I5" s="25" t="s">
        <v>265</v>
      </c>
    </row>
    <row r="6" spans="1:1" ht="16">
      <c r="A6" s="31" t="s">
        <v>3</v>
      </c>
    </row>
    <row r="7" spans="2:9" ht="16" outlineLevel="1">
      <c r="B7" s="21" t="s">
        <v>4</v>
      </c>
      <c r="C7" s="21" t="s">
        <v>5</v>
      </c>
      <c r="D7" s="21" t="s">
        <v>6</v>
      </c>
      <c r="E7" s="21" t="s">
        <v>6</v>
      </c>
      <c r="F7" s="21" t="s">
        <v>7</v>
      </c>
      <c r="G7" s="21" t="s">
        <v>8</v>
      </c>
      <c r="H7" s="26">
        <v>10000.0</v>
      </c>
      <c r="I7" s="26">
        <v>10000.0</v>
      </c>
    </row>
    <row r="8" spans="2:9" ht="16" outlineLevel="1">
      <c r="B8" s="21" t="s">
        <v>4</v>
      </c>
      <c r="C8" s="21" t="s">
        <v>5</v>
      </c>
      <c r="D8" s="21" t="s">
        <v>6</v>
      </c>
      <c r="E8" s="21" t="s">
        <v>6</v>
      </c>
      <c r="F8" s="21" t="s">
        <v>7</v>
      </c>
      <c r="G8" s="21" t="s">
        <v>8</v>
      </c>
      <c r="H8" s="26">
        <v>5000.0</v>
      </c>
      <c r="I8" s="26">
        <v>15000.0</v>
      </c>
    </row>
    <row r="9" spans="2:9" ht="16" outlineLevel="1">
      <c r="B9" s="21" t="s">
        <v>4</v>
      </c>
      <c r="C9" s="21" t="s">
        <v>9</v>
      </c>
      <c r="D9" s="21" t="s">
        <v>6</v>
      </c>
      <c r="E9" s="21" t="s">
        <v>6</v>
      </c>
      <c r="F9" s="21" t="s">
        <v>10</v>
      </c>
      <c r="G9" s="21" t="s">
        <v>11</v>
      </c>
      <c r="H9" s="26">
        <v>-10000.0</v>
      </c>
      <c r="I9" s="26">
        <v>5000.0</v>
      </c>
    </row>
    <row r="10" spans="2:9" ht="16" outlineLevel="1">
      <c r="B10" s="21" t="s">
        <v>12</v>
      </c>
      <c r="C10" s="21" t="s">
        <v>9</v>
      </c>
      <c r="D10" s="21" t="s">
        <v>6</v>
      </c>
      <c r="E10" s="21" t="s">
        <v>6</v>
      </c>
      <c r="F10" s="21" t="s">
        <v>13</v>
      </c>
      <c r="G10" s="21" t="s">
        <v>14</v>
      </c>
      <c r="H10" s="26">
        <v>-168.57</v>
      </c>
      <c r="I10" s="26">
        <v>4831.43</v>
      </c>
    </row>
    <row r="11" spans="2:9" ht="16" outlineLevel="1">
      <c r="B11" s="21" t="s">
        <v>15</v>
      </c>
      <c r="C11" s="21" t="s">
        <v>9</v>
      </c>
      <c r="D11" s="21" t="s">
        <v>6</v>
      </c>
      <c r="E11" s="21" t="s">
        <v>6</v>
      </c>
      <c r="F11" s="21" t="s">
        <v>16</v>
      </c>
      <c r="G11" s="21" t="s">
        <v>17</v>
      </c>
      <c r="H11" s="26">
        <v>-226.8</v>
      </c>
      <c r="I11" s="26">
        <v>4604.63</v>
      </c>
    </row>
    <row r="12" spans="2:9" ht="16" outlineLevel="1">
      <c r="B12" s="21" t="s">
        <v>18</v>
      </c>
      <c r="C12" s="21" t="s">
        <v>9</v>
      </c>
      <c r="D12" s="21" t="s">
        <v>6</v>
      </c>
      <c r="E12" s="21" t="s">
        <v>6</v>
      </c>
      <c r="F12" s="21" t="s">
        <v>19</v>
      </c>
      <c r="G12" s="21" t="s">
        <v>17</v>
      </c>
      <c r="H12" s="26">
        <v>-280.8</v>
      </c>
      <c r="I12" s="26">
        <v>4323.83</v>
      </c>
    </row>
    <row r="13" spans="2:9" ht="16" outlineLevel="1">
      <c r="B13" s="21" t="s">
        <v>20</v>
      </c>
      <c r="C13" s="21" t="s">
        <v>9</v>
      </c>
      <c r="D13" s="21" t="s">
        <v>6</v>
      </c>
      <c r="E13" s="21" t="s">
        <v>6</v>
      </c>
      <c r="F13" s="21" t="s">
        <v>21</v>
      </c>
      <c r="G13" s="21" t="s">
        <v>22</v>
      </c>
      <c r="H13" s="26">
        <v>-1535.26</v>
      </c>
      <c r="I13" s="26">
        <v>2788.5699999999997</v>
      </c>
    </row>
    <row r="14" spans="2:9" ht="16" outlineLevel="1">
      <c r="B14" s="21" t="s">
        <v>23</v>
      </c>
      <c r="C14" s="21" t="s">
        <v>9</v>
      </c>
      <c r="D14" s="21" t="s">
        <v>6</v>
      </c>
      <c r="E14" s="21" t="s">
        <v>6</v>
      </c>
      <c r="F14" s="21" t="s">
        <v>24</v>
      </c>
      <c r="G14" s="21" t="s">
        <v>25</v>
      </c>
      <c r="H14" s="26">
        <v>-108.0</v>
      </c>
      <c r="I14" s="26">
        <v>2680.5699999999997</v>
      </c>
    </row>
    <row r="15" spans="2:9" ht="16" outlineLevel="1">
      <c r="B15" s="21" t="s">
        <v>26</v>
      </c>
      <c r="C15" s="21" t="s">
        <v>9</v>
      </c>
      <c r="D15" s="21" t="s">
        <v>6</v>
      </c>
      <c r="E15" s="21" t="s">
        <v>6</v>
      </c>
      <c r="F15" s="21" t="s">
        <v>19</v>
      </c>
      <c r="G15" s="21" t="s">
        <v>17</v>
      </c>
      <c r="H15" s="26">
        <v>-280.8</v>
      </c>
      <c r="I15" s="26">
        <v>2399.7699999999995</v>
      </c>
    </row>
    <row r="16" spans="2:9" ht="16" outlineLevel="1">
      <c r="B16" s="21" t="s">
        <v>27</v>
      </c>
      <c r="C16" s="21" t="s">
        <v>9</v>
      </c>
      <c r="D16" s="21" t="s">
        <v>6</v>
      </c>
      <c r="E16" s="21" t="s">
        <v>6</v>
      </c>
      <c r="F16" s="21" t="s">
        <v>19</v>
      </c>
      <c r="G16" s="21" t="s">
        <v>17</v>
      </c>
      <c r="H16" s="26">
        <v>-280.8</v>
      </c>
      <c r="I16" s="26">
        <v>2118.9699999999993</v>
      </c>
    </row>
    <row r="17" spans="2:9" ht="16" outlineLevel="1">
      <c r="B17" s="21" t="s">
        <v>27</v>
      </c>
      <c r="C17" s="21" t="s">
        <v>9</v>
      </c>
      <c r="D17" s="21" t="s">
        <v>6</v>
      </c>
      <c r="E17" s="21" t="s">
        <v>6</v>
      </c>
      <c r="F17" s="21" t="s">
        <v>28</v>
      </c>
      <c r="G17" s="21" t="s">
        <v>25</v>
      </c>
      <c r="H17" s="26">
        <v>-2.5</v>
      </c>
      <c r="I17" s="26">
        <v>2116.4699999999993</v>
      </c>
    </row>
    <row r="18" spans="2:9" ht="16" outlineLevel="1">
      <c r="B18" s="21" t="s">
        <v>29</v>
      </c>
      <c r="C18" s="21" t="s">
        <v>9</v>
      </c>
      <c r="D18" s="21" t="s">
        <v>6</v>
      </c>
      <c r="E18" s="21" t="s">
        <v>6</v>
      </c>
      <c r="F18" s="21" t="s">
        <v>30</v>
      </c>
      <c r="G18" s="21" t="s">
        <v>25</v>
      </c>
      <c r="H18" s="26">
        <v>-2.5</v>
      </c>
      <c r="I18" s="26">
        <v>2113.9699999999993</v>
      </c>
    </row>
    <row r="19" spans="2:9" ht="16" outlineLevel="1">
      <c r="B19" s="21" t="s">
        <v>29</v>
      </c>
      <c r="C19" s="21" t="s">
        <v>9</v>
      </c>
      <c r="D19" s="21" t="s">
        <v>6</v>
      </c>
      <c r="E19" s="21" t="s">
        <v>6</v>
      </c>
      <c r="F19" s="21" t="s">
        <v>19</v>
      </c>
      <c r="G19" s="21" t="s">
        <v>17</v>
      </c>
      <c r="H19" s="26">
        <v>-280.8</v>
      </c>
      <c r="I19" s="26">
        <v>1833.1699999999994</v>
      </c>
    </row>
    <row r="20" spans="2:9" ht="16" outlineLevel="1">
      <c r="B20" s="21" t="s">
        <v>31</v>
      </c>
      <c r="C20" s="21" t="s">
        <v>9</v>
      </c>
      <c r="D20" s="21" t="s">
        <v>6</v>
      </c>
      <c r="E20" s="21" t="s">
        <v>32</v>
      </c>
      <c r="F20" s="21" t="s">
        <v>33</v>
      </c>
      <c r="G20" s="21" t="s">
        <v>25</v>
      </c>
      <c r="H20" s="26">
        <v>-5.88</v>
      </c>
      <c r="I20" s="26">
        <v>1827.2899999999993</v>
      </c>
    </row>
    <row r="21" spans="2:9" ht="16" outlineLevel="1">
      <c r="B21" s="21" t="s">
        <v>31</v>
      </c>
      <c r="C21" s="21" t="s">
        <v>9</v>
      </c>
      <c r="D21" s="21" t="s">
        <v>6</v>
      </c>
      <c r="E21" s="21" t="s">
        <v>6</v>
      </c>
      <c r="F21" s="21" t="s">
        <v>34</v>
      </c>
      <c r="G21" s="21" t="s">
        <v>35</v>
      </c>
      <c r="H21" s="26">
        <v>-1047.5</v>
      </c>
      <c r="I21" s="26">
        <v>779.7899999999993</v>
      </c>
    </row>
    <row r="22" spans="2:9" ht="16" outlineLevel="1">
      <c r="B22" s="21" t="s">
        <v>36</v>
      </c>
      <c r="C22" s="21" t="s">
        <v>9</v>
      </c>
      <c r="D22" s="21" t="s">
        <v>6</v>
      </c>
      <c r="E22" s="21" t="s">
        <v>6</v>
      </c>
      <c r="F22" s="21" t="s">
        <v>37</v>
      </c>
      <c r="G22" s="21" t="s">
        <v>25</v>
      </c>
      <c r="H22" s="26">
        <v>-2.5</v>
      </c>
      <c r="I22" s="26">
        <v>777.2899999999993</v>
      </c>
    </row>
    <row r="23" spans="2:9" ht="16" outlineLevel="1">
      <c r="B23" s="21" t="s">
        <v>38</v>
      </c>
      <c r="C23" s="21" t="s">
        <v>9</v>
      </c>
      <c r="D23" s="21" t="s">
        <v>6</v>
      </c>
      <c r="E23" s="21" t="s">
        <v>6</v>
      </c>
      <c r="F23" s="21" t="s">
        <v>39</v>
      </c>
      <c r="G23" s="21" t="s">
        <v>35</v>
      </c>
      <c r="H23" s="26">
        <v>-777.29</v>
      </c>
      <c r="I23" s="26">
        <v>-6.821210263296962E-13</v>
      </c>
    </row>
    <row r="24" spans="2:9" ht="16" outlineLevel="1">
      <c r="B24" s="21" t="s">
        <v>40</v>
      </c>
      <c r="C24" s="21" t="s">
        <v>5</v>
      </c>
      <c r="D24" s="21" t="s">
        <v>6</v>
      </c>
      <c r="E24" s="21" t="s">
        <v>6</v>
      </c>
      <c r="F24" s="21" t="s">
        <v>41</v>
      </c>
      <c r="G24" s="21" t="s">
        <v>25</v>
      </c>
      <c r="H24" s="26">
        <v>108.0</v>
      </c>
      <c r="I24" s="26">
        <v>107.99999999999932</v>
      </c>
    </row>
    <row r="25" spans="1:8" ht="16">
      <c r="A25" s="32" t="s">
        <v>42</v>
      </c>
      <c r="H25" s="27">
        <f>H7+H8+H9+H10+H11+H12+H13+H14+H15+H16+H17+H18+H19+H20+H21+H22+H23+H24</f>
        <v>107.99999999999932</v>
      </c>
    </row>
    <row r="26" spans="1:1" ht="16">
      <c r="A26" s="31" t="s">
        <v>43</v>
      </c>
    </row>
    <row r="27" spans="2:9" ht="16" outlineLevel="1">
      <c r="B27" s="21" t="s">
        <v>44</v>
      </c>
      <c r="C27" s="21" t="s">
        <v>45</v>
      </c>
      <c r="D27" s="21" t="s">
        <v>6</v>
      </c>
      <c r="E27" s="21" t="s">
        <v>6</v>
      </c>
      <c r="F27" s="21" t="s">
        <v>46</v>
      </c>
      <c r="G27" s="21" t="s">
        <v>47</v>
      </c>
      <c r="H27" s="26">
        <v>-501.91</v>
      </c>
      <c r="I27" s="26">
        <v>-501.91</v>
      </c>
    </row>
    <row r="28" spans="2:9" ht="16" outlineLevel="1">
      <c r="B28" s="21" t="s">
        <v>44</v>
      </c>
      <c r="C28" s="21" t="s">
        <v>5</v>
      </c>
      <c r="D28" s="21" t="s">
        <v>6</v>
      </c>
      <c r="E28" s="21" t="s">
        <v>6</v>
      </c>
      <c r="F28" s="21" t="s">
        <v>48</v>
      </c>
      <c r="G28" s="21" t="s">
        <v>49</v>
      </c>
      <c r="H28" s="26">
        <v>45.0</v>
      </c>
      <c r="I28" s="26">
        <v>-456.91</v>
      </c>
    </row>
    <row r="29" spans="2:9" ht="16" outlineLevel="1">
      <c r="B29" s="21" t="s">
        <v>44</v>
      </c>
      <c r="C29" s="21" t="s">
        <v>9</v>
      </c>
      <c r="D29" s="21" t="s">
        <v>6</v>
      </c>
      <c r="E29" s="21" t="s">
        <v>6</v>
      </c>
      <c r="F29" s="21" t="s">
        <v>50</v>
      </c>
      <c r="G29" s="21" t="s">
        <v>51</v>
      </c>
      <c r="H29" s="26">
        <v>-45.0</v>
      </c>
      <c r="I29" s="26">
        <v>-501.91</v>
      </c>
    </row>
    <row r="30" spans="2:9" ht="16" outlineLevel="1">
      <c r="B30" s="21" t="s">
        <v>31</v>
      </c>
      <c r="C30" s="21" t="s">
        <v>9</v>
      </c>
      <c r="D30" s="21" t="s">
        <v>6</v>
      </c>
      <c r="E30" s="21" t="s">
        <v>6</v>
      </c>
      <c r="F30" s="21" t="s">
        <v>52</v>
      </c>
      <c r="G30" s="21" t="s">
        <v>53</v>
      </c>
      <c r="H30" s="26">
        <v>-2.16</v>
      </c>
      <c r="I30" s="26">
        <v>-504.07000000000005</v>
      </c>
    </row>
    <row r="31" spans="2:9" ht="16" outlineLevel="1">
      <c r="B31" s="21" t="s">
        <v>31</v>
      </c>
      <c r="C31" s="21" t="s">
        <v>5</v>
      </c>
      <c r="D31" s="21" t="s">
        <v>6</v>
      </c>
      <c r="E31" s="21" t="s">
        <v>6</v>
      </c>
      <c r="F31" s="21" t="s">
        <v>54</v>
      </c>
      <c r="G31" s="21" t="s">
        <v>49</v>
      </c>
      <c r="H31" s="26">
        <v>15000.0</v>
      </c>
      <c r="I31" s="26">
        <v>14495.93</v>
      </c>
    </row>
    <row r="32" spans="2:9" ht="16" outlineLevel="1">
      <c r="B32" s="21" t="s">
        <v>55</v>
      </c>
      <c r="C32" s="21" t="s">
        <v>9</v>
      </c>
      <c r="D32" s="21" t="s">
        <v>6</v>
      </c>
      <c r="E32" s="21" t="s">
        <v>6</v>
      </c>
      <c r="F32" s="21" t="s">
        <v>56</v>
      </c>
      <c r="G32" s="21" t="s">
        <v>53</v>
      </c>
      <c r="H32" s="26">
        <v>-0.49</v>
      </c>
      <c r="I32" s="26">
        <v>14495.44</v>
      </c>
    </row>
    <row r="33" spans="2:9" ht="16" outlineLevel="1">
      <c r="B33" s="21" t="s">
        <v>55</v>
      </c>
      <c r="C33" s="21" t="s">
        <v>9</v>
      </c>
      <c r="D33" s="21" t="s">
        <v>6</v>
      </c>
      <c r="E33" s="21" t="s">
        <v>6</v>
      </c>
      <c r="F33" s="21" t="s">
        <v>57</v>
      </c>
      <c r="G33" s="21" t="s">
        <v>58</v>
      </c>
      <c r="H33" s="26">
        <v>-140.83</v>
      </c>
      <c r="I33" s="26">
        <v>14354.61</v>
      </c>
    </row>
    <row r="34" spans="2:9" ht="16" outlineLevel="1">
      <c r="B34" s="21" t="s">
        <v>59</v>
      </c>
      <c r="C34" s="21" t="s">
        <v>9</v>
      </c>
      <c r="D34" s="21" t="s">
        <v>6</v>
      </c>
      <c r="E34" s="21" t="s">
        <v>6</v>
      </c>
      <c r="F34" s="21" t="s">
        <v>60</v>
      </c>
      <c r="G34" s="21" t="s">
        <v>53</v>
      </c>
      <c r="H34" s="26">
        <v>-0.23</v>
      </c>
      <c r="I34" s="26">
        <v>14354.380000000001</v>
      </c>
    </row>
    <row r="35" spans="2:9" ht="16" outlineLevel="1">
      <c r="B35" s="21" t="s">
        <v>59</v>
      </c>
      <c r="C35" s="21" t="s">
        <v>9</v>
      </c>
      <c r="D35" s="21" t="s">
        <v>6</v>
      </c>
      <c r="E35" s="21" t="s">
        <v>6</v>
      </c>
      <c r="F35" s="21" t="s">
        <v>61</v>
      </c>
      <c r="G35" s="21" t="s">
        <v>58</v>
      </c>
      <c r="H35" s="26">
        <v>-67.19</v>
      </c>
      <c r="I35" s="26">
        <v>14287.19</v>
      </c>
    </row>
    <row r="36" spans="2:9" ht="16" outlineLevel="1">
      <c r="B36" s="21" t="s">
        <v>36</v>
      </c>
      <c r="C36" s="21" t="s">
        <v>9</v>
      </c>
      <c r="D36" s="21" t="s">
        <v>6</v>
      </c>
      <c r="E36" s="21" t="s">
        <v>62</v>
      </c>
      <c r="F36" s="21" t="s">
        <v>63</v>
      </c>
      <c r="G36" s="21" t="s">
        <v>64</v>
      </c>
      <c r="H36" s="26">
        <v>-18.99</v>
      </c>
      <c r="I36" s="26">
        <v>14268.2</v>
      </c>
    </row>
    <row r="37" spans="2:9" ht="16" outlineLevel="1">
      <c r="B37" s="21" t="s">
        <v>65</v>
      </c>
      <c r="C37" s="21" t="s">
        <v>9</v>
      </c>
      <c r="D37" s="21" t="s">
        <v>6</v>
      </c>
      <c r="E37" s="21" t="s">
        <v>6</v>
      </c>
      <c r="F37" s="21" t="s">
        <v>66</v>
      </c>
      <c r="G37" s="21" t="s">
        <v>67</v>
      </c>
      <c r="H37" s="26">
        <v>-35.62</v>
      </c>
      <c r="I37" s="26">
        <v>14232.58</v>
      </c>
    </row>
    <row r="38" spans="2:9" ht="16" outlineLevel="1">
      <c r="B38" s="21" t="s">
        <v>68</v>
      </c>
      <c r="C38" s="21" t="s">
        <v>9</v>
      </c>
      <c r="D38" s="21" t="s">
        <v>6</v>
      </c>
      <c r="E38" s="21" t="s">
        <v>6</v>
      </c>
      <c r="F38" s="21" t="s">
        <v>69</v>
      </c>
      <c r="G38" s="21" t="s">
        <v>17</v>
      </c>
      <c r="H38" s="26">
        <v>-280.8</v>
      </c>
      <c r="I38" s="26">
        <v>13951.78</v>
      </c>
    </row>
    <row r="39" spans="2:9" ht="16" outlineLevel="1">
      <c r="B39" s="21" t="s">
        <v>68</v>
      </c>
      <c r="C39" s="21" t="s">
        <v>9</v>
      </c>
      <c r="D39" s="21" t="s">
        <v>6</v>
      </c>
      <c r="E39" s="21" t="s">
        <v>6</v>
      </c>
      <c r="F39" s="21" t="s">
        <v>70</v>
      </c>
      <c r="G39" s="21" t="s">
        <v>53</v>
      </c>
      <c r="H39" s="26">
        <v>-0.13</v>
      </c>
      <c r="I39" s="26">
        <v>13951.650000000001</v>
      </c>
    </row>
    <row r="40" spans="2:9" ht="16" outlineLevel="1">
      <c r="B40" s="21" t="s">
        <v>68</v>
      </c>
      <c r="C40" s="21" t="s">
        <v>9</v>
      </c>
      <c r="D40" s="21" t="s">
        <v>6</v>
      </c>
      <c r="E40" s="21" t="s">
        <v>6</v>
      </c>
      <c r="F40" s="21" t="s">
        <v>71</v>
      </c>
      <c r="G40" s="21" t="s">
        <v>58</v>
      </c>
      <c r="H40" s="26">
        <v>-37.37</v>
      </c>
      <c r="I40" s="26">
        <v>13914.28</v>
      </c>
    </row>
    <row r="41" spans="2:9" ht="16" outlineLevel="1">
      <c r="B41" s="21" t="s">
        <v>72</v>
      </c>
      <c r="C41" s="21" t="s">
        <v>9</v>
      </c>
      <c r="D41" s="21" t="s">
        <v>6</v>
      </c>
      <c r="E41" s="21" t="s">
        <v>6</v>
      </c>
      <c r="F41" s="21" t="s">
        <v>73</v>
      </c>
      <c r="G41" s="21" t="s">
        <v>35</v>
      </c>
      <c r="H41" s="26">
        <v>-1047.5</v>
      </c>
      <c r="I41" s="26">
        <v>12866.78</v>
      </c>
    </row>
    <row r="42" spans="2:9" ht="16" outlineLevel="1">
      <c r="B42" s="21" t="s">
        <v>74</v>
      </c>
      <c r="C42" s="21" t="s">
        <v>9</v>
      </c>
      <c r="D42" s="21" t="s">
        <v>6</v>
      </c>
      <c r="E42" s="21" t="s">
        <v>6</v>
      </c>
      <c r="F42" s="21" t="s">
        <v>75</v>
      </c>
      <c r="G42" s="21" t="s">
        <v>53</v>
      </c>
      <c r="H42" s="26">
        <v>-0.77</v>
      </c>
      <c r="I42" s="26">
        <v>12866.01</v>
      </c>
    </row>
    <row r="43" spans="2:9" ht="16" outlineLevel="1">
      <c r="B43" s="21" t="s">
        <v>74</v>
      </c>
      <c r="C43" s="21" t="s">
        <v>9</v>
      </c>
      <c r="D43" s="21" t="s">
        <v>6</v>
      </c>
      <c r="E43" s="21" t="s">
        <v>6</v>
      </c>
      <c r="F43" s="21" t="s">
        <v>76</v>
      </c>
      <c r="G43" s="21" t="s">
        <v>53</v>
      </c>
      <c r="H43" s="26">
        <v>-221.15</v>
      </c>
      <c r="I43" s="26">
        <v>12644.86</v>
      </c>
    </row>
    <row r="44" spans="2:9" ht="16" outlineLevel="1">
      <c r="B44" s="21" t="s">
        <v>77</v>
      </c>
      <c r="C44" s="21" t="s">
        <v>9</v>
      </c>
      <c r="D44" s="21" t="s">
        <v>6</v>
      </c>
      <c r="E44" s="21" t="s">
        <v>78</v>
      </c>
      <c r="F44" s="21" t="s">
        <v>79</v>
      </c>
      <c r="G44" s="21" t="s">
        <v>80</v>
      </c>
      <c r="H44" s="26">
        <v>-268.99</v>
      </c>
      <c r="I44" s="26">
        <v>12375.87</v>
      </c>
    </row>
    <row r="45" spans="2:9" ht="16" outlineLevel="1">
      <c r="B45" s="21" t="s">
        <v>81</v>
      </c>
      <c r="C45" s="21" t="s">
        <v>9</v>
      </c>
      <c r="D45" s="21" t="s">
        <v>6</v>
      </c>
      <c r="E45" s="21" t="s">
        <v>78</v>
      </c>
      <c r="F45" s="21" t="s">
        <v>82</v>
      </c>
      <c r="G45" s="21" t="s">
        <v>80</v>
      </c>
      <c r="H45" s="26">
        <v>-39.99</v>
      </c>
      <c r="I45" s="26">
        <v>12335.880000000001</v>
      </c>
    </row>
    <row r="46" spans="2:9" ht="16" outlineLevel="1">
      <c r="B46" s="21" t="s">
        <v>83</v>
      </c>
      <c r="C46" s="21" t="s">
        <v>9</v>
      </c>
      <c r="D46" s="21" t="s">
        <v>6</v>
      </c>
      <c r="E46" s="21" t="s">
        <v>32</v>
      </c>
      <c r="F46" s="21" t="s">
        <v>84</v>
      </c>
      <c r="G46" s="21" t="s">
        <v>25</v>
      </c>
      <c r="H46" s="26">
        <v>-5.88</v>
      </c>
      <c r="I46" s="26">
        <v>12330.000000000002</v>
      </c>
    </row>
    <row r="47" spans="2:9" ht="16" outlineLevel="1">
      <c r="B47" s="21" t="s">
        <v>85</v>
      </c>
      <c r="C47" s="21" t="s">
        <v>9</v>
      </c>
      <c r="D47" s="21" t="s">
        <v>6</v>
      </c>
      <c r="E47" s="21" t="s">
        <v>6</v>
      </c>
      <c r="F47" s="21" t="s">
        <v>86</v>
      </c>
      <c r="G47" s="21" t="s">
        <v>53</v>
      </c>
      <c r="H47" s="26">
        <v>-0.05</v>
      </c>
      <c r="I47" s="26">
        <v>12329.950000000003</v>
      </c>
    </row>
    <row r="48" spans="2:9" ht="16" outlineLevel="1">
      <c r="B48" s="21" t="s">
        <v>85</v>
      </c>
      <c r="C48" s="21" t="s">
        <v>9</v>
      </c>
      <c r="D48" s="21" t="s">
        <v>6</v>
      </c>
      <c r="E48" s="21" t="s">
        <v>6</v>
      </c>
      <c r="F48" s="21" t="s">
        <v>87</v>
      </c>
      <c r="G48" s="21" t="s">
        <v>58</v>
      </c>
      <c r="H48" s="26">
        <v>-14.79</v>
      </c>
      <c r="I48" s="26">
        <v>12315.160000000002</v>
      </c>
    </row>
    <row r="49" spans="2:9" ht="16" outlineLevel="1">
      <c r="B49" s="21" t="s">
        <v>88</v>
      </c>
      <c r="C49" s="21" t="s">
        <v>9</v>
      </c>
      <c r="D49" s="21" t="s">
        <v>6</v>
      </c>
      <c r="E49" s="21" t="s">
        <v>6</v>
      </c>
      <c r="F49" s="21" t="s">
        <v>89</v>
      </c>
      <c r="G49" s="21" t="s">
        <v>58</v>
      </c>
      <c r="H49" s="26">
        <v>-200.0</v>
      </c>
      <c r="I49" s="26">
        <v>12115.160000000002</v>
      </c>
    </row>
    <row r="50" spans="2:9" ht="16" outlineLevel="1">
      <c r="B50" s="21" t="s">
        <v>88</v>
      </c>
      <c r="C50" s="21" t="s">
        <v>9</v>
      </c>
      <c r="D50" s="21" t="s">
        <v>6</v>
      </c>
      <c r="E50" s="21" t="s">
        <v>62</v>
      </c>
      <c r="F50" s="21" t="s">
        <v>63</v>
      </c>
      <c r="G50" s="21" t="s">
        <v>58</v>
      </c>
      <c r="H50" s="26">
        <v>-119.99</v>
      </c>
      <c r="I50" s="26">
        <v>11995.170000000002</v>
      </c>
    </row>
    <row r="51" spans="2:9" ht="16" outlineLevel="1">
      <c r="B51" s="21" t="s">
        <v>90</v>
      </c>
      <c r="C51" s="21" t="s">
        <v>5</v>
      </c>
      <c r="D51" s="21" t="s">
        <v>6</v>
      </c>
      <c r="E51" s="21" t="s">
        <v>6</v>
      </c>
      <c r="F51" s="21" t="s">
        <v>91</v>
      </c>
      <c r="G51" s="21" t="s">
        <v>49</v>
      </c>
      <c r="H51" s="26">
        <v>6.13</v>
      </c>
      <c r="I51" s="26">
        <v>12001.300000000001</v>
      </c>
    </row>
    <row r="52" spans="2:9" ht="16" outlineLevel="1">
      <c r="B52" s="21" t="s">
        <v>92</v>
      </c>
      <c r="C52" s="21" t="s">
        <v>9</v>
      </c>
      <c r="D52" s="21" t="s">
        <v>6</v>
      </c>
      <c r="E52" s="21" t="s">
        <v>78</v>
      </c>
      <c r="F52" s="21" t="s">
        <v>93</v>
      </c>
      <c r="G52" s="21" t="s">
        <v>80</v>
      </c>
      <c r="H52" s="26">
        <v>-38.29</v>
      </c>
      <c r="I52" s="26">
        <v>11963.01</v>
      </c>
    </row>
    <row r="53" spans="2:9" ht="16" outlineLevel="1">
      <c r="B53" s="21" t="s">
        <v>94</v>
      </c>
      <c r="C53" s="21" t="s">
        <v>5</v>
      </c>
      <c r="D53" s="21" t="s">
        <v>6</v>
      </c>
      <c r="E53" s="21" t="s">
        <v>6</v>
      </c>
      <c r="F53" s="21" t="s">
        <v>95</v>
      </c>
      <c r="G53" s="21" t="s">
        <v>49</v>
      </c>
      <c r="H53" s="26">
        <v>1.64</v>
      </c>
      <c r="I53" s="26">
        <v>11964.65</v>
      </c>
    </row>
    <row r="54" spans="2:9" ht="16" outlineLevel="1">
      <c r="B54" s="21" t="s">
        <v>94</v>
      </c>
      <c r="C54" s="21" t="s">
        <v>9</v>
      </c>
      <c r="D54" s="21" t="s">
        <v>6</v>
      </c>
      <c r="E54" s="21" t="s">
        <v>6</v>
      </c>
      <c r="F54" s="21" t="s">
        <v>96</v>
      </c>
      <c r="G54" s="21" t="s">
        <v>58</v>
      </c>
      <c r="H54" s="26">
        <v>-312.0</v>
      </c>
      <c r="I54" s="26">
        <v>11652.65</v>
      </c>
    </row>
    <row r="55" spans="2:9" ht="16" outlineLevel="1">
      <c r="B55" s="21" t="s">
        <v>97</v>
      </c>
      <c r="C55" s="21" t="s">
        <v>9</v>
      </c>
      <c r="D55" s="21" t="s">
        <v>6</v>
      </c>
      <c r="E55" s="21" t="s">
        <v>6</v>
      </c>
      <c r="F55" s="21" t="s">
        <v>98</v>
      </c>
      <c r="G55" s="21" t="s">
        <v>53</v>
      </c>
      <c r="H55" s="26">
        <v>-0.24</v>
      </c>
      <c r="I55" s="26">
        <v>11652.41</v>
      </c>
    </row>
    <row r="56" spans="2:9" ht="16" outlineLevel="1">
      <c r="B56" s="21" t="s">
        <v>97</v>
      </c>
      <c r="C56" s="21" t="s">
        <v>9</v>
      </c>
      <c r="D56" s="21" t="s">
        <v>6</v>
      </c>
      <c r="E56" s="21" t="s">
        <v>6</v>
      </c>
      <c r="F56" s="21" t="s">
        <v>99</v>
      </c>
      <c r="G56" s="21" t="s">
        <v>58</v>
      </c>
      <c r="H56" s="26">
        <v>-69.36</v>
      </c>
      <c r="I56" s="26">
        <v>11583.05</v>
      </c>
    </row>
    <row r="57" spans="2:9" ht="16" outlineLevel="1">
      <c r="B57" s="21" t="s">
        <v>100</v>
      </c>
      <c r="C57" s="21" t="s">
        <v>9</v>
      </c>
      <c r="D57" s="21" t="s">
        <v>6</v>
      </c>
      <c r="E57" s="21" t="s">
        <v>78</v>
      </c>
      <c r="F57" s="21" t="s">
        <v>101</v>
      </c>
      <c r="G57" s="21" t="s">
        <v>80</v>
      </c>
      <c r="H57" s="26">
        <v>-117.81</v>
      </c>
      <c r="I57" s="26">
        <v>11465.24</v>
      </c>
    </row>
    <row r="58" spans="2:9" ht="16" outlineLevel="1">
      <c r="B58" s="21" t="s">
        <v>102</v>
      </c>
      <c r="C58" s="21" t="s">
        <v>9</v>
      </c>
      <c r="D58" s="21" t="s">
        <v>6</v>
      </c>
      <c r="E58" s="21" t="s">
        <v>6</v>
      </c>
      <c r="F58" s="21" t="s">
        <v>73</v>
      </c>
      <c r="G58" s="21" t="s">
        <v>35</v>
      </c>
      <c r="H58" s="26">
        <v>-300.0</v>
      </c>
      <c r="I58" s="26">
        <v>11165.24</v>
      </c>
    </row>
    <row r="59" spans="2:9" ht="16" outlineLevel="1">
      <c r="B59" s="21" t="s">
        <v>102</v>
      </c>
      <c r="C59" s="21" t="s">
        <v>9</v>
      </c>
      <c r="D59" s="21" t="s">
        <v>6</v>
      </c>
      <c r="E59" s="21" t="s">
        <v>6</v>
      </c>
      <c r="F59" s="21" t="s">
        <v>73</v>
      </c>
      <c r="G59" s="21" t="s">
        <v>35</v>
      </c>
      <c r="H59" s="26">
        <v>-747.5</v>
      </c>
      <c r="I59" s="26">
        <v>10417.74</v>
      </c>
    </row>
    <row r="60" spans="2:9" ht="16" outlineLevel="1">
      <c r="B60" s="21" t="s">
        <v>103</v>
      </c>
      <c r="C60" s="21" t="s">
        <v>9</v>
      </c>
      <c r="D60" s="21" t="s">
        <v>6</v>
      </c>
      <c r="E60" s="21" t="s">
        <v>6</v>
      </c>
      <c r="F60" s="21" t="s">
        <v>104</v>
      </c>
      <c r="G60" s="21" t="s">
        <v>67</v>
      </c>
      <c r="H60" s="26">
        <v>-157.13</v>
      </c>
      <c r="I60" s="26">
        <v>10260.61</v>
      </c>
    </row>
    <row r="61" spans="2:9" ht="16" outlineLevel="1">
      <c r="B61" s="21" t="s">
        <v>105</v>
      </c>
      <c r="C61" s="21" t="s">
        <v>9</v>
      </c>
      <c r="D61" s="21" t="s">
        <v>6</v>
      </c>
      <c r="E61" s="21" t="s">
        <v>6</v>
      </c>
      <c r="F61" s="21" t="s">
        <v>106</v>
      </c>
      <c r="G61" s="21" t="s">
        <v>53</v>
      </c>
      <c r="H61" s="26">
        <v>-0.05</v>
      </c>
      <c r="I61" s="26">
        <v>10260.560000000001</v>
      </c>
    </row>
    <row r="62" spans="2:9" ht="16" outlineLevel="1">
      <c r="B62" s="21" t="s">
        <v>105</v>
      </c>
      <c r="C62" s="21" t="s">
        <v>9</v>
      </c>
      <c r="D62" s="21" t="s">
        <v>6</v>
      </c>
      <c r="E62" s="21" t="s">
        <v>6</v>
      </c>
      <c r="F62" s="21" t="s">
        <v>107</v>
      </c>
      <c r="G62" s="21" t="s">
        <v>58</v>
      </c>
      <c r="H62" s="26">
        <v>-14.66</v>
      </c>
      <c r="I62" s="26">
        <v>10245.900000000001</v>
      </c>
    </row>
    <row r="63" spans="2:9" ht="16" outlineLevel="1">
      <c r="B63" s="21" t="s">
        <v>108</v>
      </c>
      <c r="C63" s="21" t="s">
        <v>9</v>
      </c>
      <c r="D63" s="21" t="s">
        <v>6</v>
      </c>
      <c r="E63" s="21" t="s">
        <v>6</v>
      </c>
      <c r="F63" s="21" t="s">
        <v>109</v>
      </c>
      <c r="G63" s="21" t="s">
        <v>53</v>
      </c>
      <c r="H63" s="26">
        <v>-0.77</v>
      </c>
      <c r="I63" s="26">
        <v>10245.130000000001</v>
      </c>
    </row>
    <row r="64" spans="2:9" ht="16" outlineLevel="1">
      <c r="B64" s="21" t="s">
        <v>108</v>
      </c>
      <c r="C64" s="21" t="s">
        <v>9</v>
      </c>
      <c r="D64" s="21" t="s">
        <v>6</v>
      </c>
      <c r="E64" s="21" t="s">
        <v>6</v>
      </c>
      <c r="F64" s="21" t="s">
        <v>76</v>
      </c>
      <c r="G64" s="21" t="s">
        <v>58</v>
      </c>
      <c r="H64" s="26">
        <v>-221.35</v>
      </c>
      <c r="I64" s="26">
        <v>10023.78</v>
      </c>
    </row>
    <row r="65" spans="2:9" ht="16" outlineLevel="1">
      <c r="B65" s="21" t="s">
        <v>110</v>
      </c>
      <c r="C65" s="21" t="s">
        <v>5</v>
      </c>
      <c r="D65" s="21" t="s">
        <v>6</v>
      </c>
      <c r="E65" s="21" t="s">
        <v>6</v>
      </c>
      <c r="F65" s="21" t="s">
        <v>54</v>
      </c>
      <c r="G65" s="21" t="s">
        <v>49</v>
      </c>
      <c r="H65" s="26">
        <v>70810.0</v>
      </c>
      <c r="I65" s="26">
        <v>80833.78</v>
      </c>
    </row>
    <row r="66" spans="2:9" ht="16" outlineLevel="1">
      <c r="B66" s="21" t="s">
        <v>110</v>
      </c>
      <c r="C66" s="21" t="s">
        <v>9</v>
      </c>
      <c r="D66" s="21" t="s">
        <v>6</v>
      </c>
      <c r="E66" s="21" t="s">
        <v>6</v>
      </c>
      <c r="F66" s="21" t="s">
        <v>111</v>
      </c>
      <c r="G66" s="21" t="s">
        <v>53</v>
      </c>
      <c r="H66" s="26">
        <v>-2.16</v>
      </c>
      <c r="I66" s="26">
        <v>80831.62</v>
      </c>
    </row>
    <row r="67" spans="2:9" ht="16" outlineLevel="1">
      <c r="B67" s="21" t="s">
        <v>112</v>
      </c>
      <c r="C67" s="21" t="s">
        <v>9</v>
      </c>
      <c r="D67" s="21" t="s">
        <v>6</v>
      </c>
      <c r="E67" s="21" t="s">
        <v>32</v>
      </c>
      <c r="F67" s="21" t="s">
        <v>84</v>
      </c>
      <c r="G67" s="21" t="s">
        <v>25</v>
      </c>
      <c r="H67" s="26">
        <v>-5.88</v>
      </c>
      <c r="I67" s="26">
        <v>80825.73999999999</v>
      </c>
    </row>
    <row r="68" spans="2:9" ht="16" outlineLevel="1">
      <c r="B68" s="21" t="s">
        <v>113</v>
      </c>
      <c r="C68" s="21" t="s">
        <v>9</v>
      </c>
      <c r="D68" s="21" t="s">
        <v>6</v>
      </c>
      <c r="E68" s="21" t="s">
        <v>6</v>
      </c>
      <c r="F68" s="21" t="s">
        <v>114</v>
      </c>
      <c r="G68" s="21" t="s">
        <v>58</v>
      </c>
      <c r="H68" s="26">
        <v>-17.8</v>
      </c>
      <c r="I68" s="26">
        <v>80807.93999999999</v>
      </c>
    </row>
    <row r="69" spans="2:9" ht="16" outlineLevel="1">
      <c r="B69" s="21" t="s">
        <v>113</v>
      </c>
      <c r="C69" s="21" t="s">
        <v>9</v>
      </c>
      <c r="D69" s="21" t="s">
        <v>6</v>
      </c>
      <c r="E69" s="21" t="s">
        <v>115</v>
      </c>
      <c r="F69" s="21" t="s">
        <v>116</v>
      </c>
      <c r="G69" s="21" t="s">
        <v>64</v>
      </c>
      <c r="H69" s="26">
        <v>-23.79</v>
      </c>
      <c r="I69" s="26">
        <v>80784.15</v>
      </c>
    </row>
    <row r="70" spans="2:9" ht="16" outlineLevel="1">
      <c r="B70" s="21" t="s">
        <v>113</v>
      </c>
      <c r="C70" s="21" t="s">
        <v>9</v>
      </c>
      <c r="D70" s="21" t="s">
        <v>6</v>
      </c>
      <c r="E70" s="21" t="s">
        <v>78</v>
      </c>
      <c r="F70" s="21" t="s">
        <v>117</v>
      </c>
      <c r="G70" s="21" t="s">
        <v>80</v>
      </c>
      <c r="H70" s="26">
        <v>-101.65</v>
      </c>
      <c r="I70" s="26">
        <v>80682.5</v>
      </c>
    </row>
    <row r="71" spans="2:9" ht="16" outlineLevel="1">
      <c r="B71" s="21" t="s">
        <v>118</v>
      </c>
      <c r="C71" s="21" t="s">
        <v>9</v>
      </c>
      <c r="D71" s="21" t="s">
        <v>6</v>
      </c>
      <c r="E71" s="21" t="s">
        <v>78</v>
      </c>
      <c r="F71" s="21" t="s">
        <v>119</v>
      </c>
      <c r="G71" s="21" t="s">
        <v>80</v>
      </c>
      <c r="H71" s="26">
        <v>-3.78</v>
      </c>
      <c r="I71" s="26">
        <v>80678.72</v>
      </c>
    </row>
    <row r="72" spans="2:9" ht="16" outlineLevel="1">
      <c r="B72" s="21" t="s">
        <v>120</v>
      </c>
      <c r="C72" s="21" t="s">
        <v>9</v>
      </c>
      <c r="D72" s="21" t="s">
        <v>6</v>
      </c>
      <c r="E72" s="21" t="s">
        <v>6</v>
      </c>
      <c r="F72" s="21" t="s">
        <v>121</v>
      </c>
      <c r="G72" s="21" t="s">
        <v>53</v>
      </c>
      <c r="H72" s="26">
        <v>-0.09</v>
      </c>
      <c r="I72" s="26">
        <v>80678.63</v>
      </c>
    </row>
    <row r="73" spans="2:9" ht="16" outlineLevel="1">
      <c r="B73" s="21" t="s">
        <v>120</v>
      </c>
      <c r="C73" s="21" t="s">
        <v>9</v>
      </c>
      <c r="D73" s="21" t="s">
        <v>6</v>
      </c>
      <c r="E73" s="21" t="s">
        <v>6</v>
      </c>
      <c r="F73" s="21" t="s">
        <v>122</v>
      </c>
      <c r="G73" s="21" t="s">
        <v>58</v>
      </c>
      <c r="H73" s="26">
        <v>-26.11</v>
      </c>
      <c r="I73" s="26">
        <v>80652.52</v>
      </c>
    </row>
    <row r="74" spans="2:9" ht="16" outlineLevel="1">
      <c r="B74" s="21" t="s">
        <v>120</v>
      </c>
      <c r="C74" s="21" t="s">
        <v>9</v>
      </c>
      <c r="D74" s="21" t="s">
        <v>6</v>
      </c>
      <c r="E74" s="21" t="s">
        <v>6</v>
      </c>
      <c r="F74" s="21" t="s">
        <v>89</v>
      </c>
      <c r="G74" s="21" t="s">
        <v>58</v>
      </c>
      <c r="H74" s="26">
        <v>-200.0</v>
      </c>
      <c r="I74" s="26">
        <v>80452.52</v>
      </c>
    </row>
    <row r="75" spans="2:9" ht="16" outlineLevel="1">
      <c r="B75" s="21" t="s">
        <v>123</v>
      </c>
      <c r="C75" s="21" t="s">
        <v>9</v>
      </c>
      <c r="D75" s="21" t="s">
        <v>6</v>
      </c>
      <c r="E75" s="21" t="s">
        <v>6</v>
      </c>
      <c r="F75" s="21" t="s">
        <v>124</v>
      </c>
      <c r="G75" s="21" t="s">
        <v>25</v>
      </c>
      <c r="H75" s="26">
        <v>-155.88</v>
      </c>
      <c r="I75" s="26">
        <v>80296.64</v>
      </c>
    </row>
    <row r="76" spans="2:9" ht="16" outlineLevel="1">
      <c r="B76" s="21" t="s">
        <v>125</v>
      </c>
      <c r="C76" s="21" t="s">
        <v>9</v>
      </c>
      <c r="D76" s="21" t="s">
        <v>6</v>
      </c>
      <c r="E76" s="21" t="s">
        <v>6</v>
      </c>
      <c r="F76" s="21" t="s">
        <v>73</v>
      </c>
      <c r="G76" s="21" t="s">
        <v>126</v>
      </c>
      <c r="H76" s="26">
        <v>-64500.0</v>
      </c>
      <c r="I76" s="26">
        <v>15796.64</v>
      </c>
    </row>
    <row r="77" spans="2:9" ht="16" outlineLevel="1">
      <c r="B77" s="21" t="s">
        <v>127</v>
      </c>
      <c r="C77" s="21" t="s">
        <v>9</v>
      </c>
      <c r="D77" s="21" t="s">
        <v>6</v>
      </c>
      <c r="E77" s="21" t="s">
        <v>6</v>
      </c>
      <c r="F77" s="21" t="s">
        <v>128</v>
      </c>
      <c r="G77" s="21" t="s">
        <v>53</v>
      </c>
      <c r="H77" s="26">
        <v>-0.18</v>
      </c>
      <c r="I77" s="26">
        <v>15796.46</v>
      </c>
    </row>
    <row r="78" spans="2:9" ht="16" outlineLevel="1">
      <c r="B78" s="21" t="s">
        <v>127</v>
      </c>
      <c r="C78" s="21" t="s">
        <v>9</v>
      </c>
      <c r="D78" s="21" t="s">
        <v>6</v>
      </c>
      <c r="E78" s="21" t="s">
        <v>6</v>
      </c>
      <c r="F78" s="21" t="s">
        <v>129</v>
      </c>
      <c r="G78" s="21" t="s">
        <v>58</v>
      </c>
      <c r="H78" s="26">
        <v>-51.26</v>
      </c>
      <c r="I78" s="26">
        <v>15745.199999999999</v>
      </c>
    </row>
    <row r="79" spans="2:9" ht="16" outlineLevel="1">
      <c r="B79" s="21" t="s">
        <v>130</v>
      </c>
      <c r="C79" s="21" t="s">
        <v>5</v>
      </c>
      <c r="D79" s="21" t="s">
        <v>6</v>
      </c>
      <c r="E79" s="21" t="s">
        <v>6</v>
      </c>
      <c r="F79" s="21" t="s">
        <v>95</v>
      </c>
      <c r="G79" s="21" t="s">
        <v>49</v>
      </c>
      <c r="H79" s="26">
        <v>2.38</v>
      </c>
      <c r="I79" s="26">
        <v>15747.579999999998</v>
      </c>
    </row>
    <row r="80" spans="2:9" ht="16" outlineLevel="1">
      <c r="B80" s="21" t="s">
        <v>130</v>
      </c>
      <c r="C80" s="21" t="s">
        <v>9</v>
      </c>
      <c r="D80" s="21" t="s">
        <v>6</v>
      </c>
      <c r="E80" s="21" t="s">
        <v>6</v>
      </c>
      <c r="F80" s="21" t="s">
        <v>96</v>
      </c>
      <c r="G80" s="21" t="s">
        <v>58</v>
      </c>
      <c r="H80" s="26">
        <v>-312.0</v>
      </c>
      <c r="I80" s="26">
        <v>15435.579999999998</v>
      </c>
    </row>
    <row r="81" spans="2:9" ht="16" outlineLevel="1">
      <c r="B81" s="21" t="s">
        <v>131</v>
      </c>
      <c r="C81" s="21" t="s">
        <v>9</v>
      </c>
      <c r="D81" s="21" t="s">
        <v>6</v>
      </c>
      <c r="E81" s="21" t="s">
        <v>6</v>
      </c>
      <c r="F81" s="21" t="s">
        <v>132</v>
      </c>
      <c r="G81" s="21" t="s">
        <v>25</v>
      </c>
      <c r="H81" s="26">
        <v>-4.0</v>
      </c>
      <c r="I81" s="26">
        <v>15431.579999999998</v>
      </c>
    </row>
    <row r="82" spans="2:9" ht="16" outlineLevel="1">
      <c r="B82" s="21" t="s">
        <v>133</v>
      </c>
      <c r="C82" s="21" t="s">
        <v>9</v>
      </c>
      <c r="D82" s="21" t="s">
        <v>6</v>
      </c>
      <c r="E82" s="21" t="s">
        <v>6</v>
      </c>
      <c r="F82" s="21" t="s">
        <v>134</v>
      </c>
      <c r="G82" s="21" t="s">
        <v>135</v>
      </c>
      <c r="H82" s="26">
        <v>-0.52</v>
      </c>
      <c r="I82" s="26">
        <v>15431.059999999998</v>
      </c>
    </row>
    <row r="83" spans="2:9" ht="16" outlineLevel="1">
      <c r="B83" s="21" t="s">
        <v>133</v>
      </c>
      <c r="C83" s="21" t="s">
        <v>9</v>
      </c>
      <c r="D83" s="21" t="s">
        <v>6</v>
      </c>
      <c r="E83" s="21" t="s">
        <v>6</v>
      </c>
      <c r="F83" s="21" t="s">
        <v>136</v>
      </c>
      <c r="G83" s="21" t="s">
        <v>58</v>
      </c>
      <c r="H83" s="26">
        <v>-148.68</v>
      </c>
      <c r="I83" s="26">
        <v>15282.379999999997</v>
      </c>
    </row>
    <row r="84" spans="2:9" ht="16" outlineLevel="1">
      <c r="B84" s="21" t="s">
        <v>133</v>
      </c>
      <c r="C84" s="21" t="s">
        <v>9</v>
      </c>
      <c r="D84" s="21" t="s">
        <v>6</v>
      </c>
      <c r="E84" s="21" t="s">
        <v>62</v>
      </c>
      <c r="F84" s="21" t="s">
        <v>63</v>
      </c>
      <c r="G84" s="21" t="s">
        <v>25</v>
      </c>
      <c r="H84" s="26">
        <v>-9.49</v>
      </c>
      <c r="I84" s="26">
        <v>15272.889999999998</v>
      </c>
    </row>
    <row r="85" spans="2:9" ht="16" outlineLevel="1">
      <c r="B85" s="21" t="s">
        <v>137</v>
      </c>
      <c r="C85" s="21" t="s">
        <v>9</v>
      </c>
      <c r="D85" s="21" t="s">
        <v>6</v>
      </c>
      <c r="E85" s="21" t="s">
        <v>6</v>
      </c>
      <c r="F85" s="21" t="s">
        <v>73</v>
      </c>
      <c r="G85" s="21" t="s">
        <v>35</v>
      </c>
      <c r="H85" s="26">
        <v>-747.5</v>
      </c>
      <c r="I85" s="26">
        <v>14525.389999999998</v>
      </c>
    </row>
    <row r="86" spans="2:9" ht="16" outlineLevel="1">
      <c r="B86" s="21" t="s">
        <v>137</v>
      </c>
      <c r="C86" s="21" t="s">
        <v>9</v>
      </c>
      <c r="D86" s="21" t="s">
        <v>6</v>
      </c>
      <c r="E86" s="21" t="s">
        <v>6</v>
      </c>
      <c r="F86" s="21" t="s">
        <v>73</v>
      </c>
      <c r="G86" s="21" t="s">
        <v>35</v>
      </c>
      <c r="H86" s="26">
        <v>-300.0</v>
      </c>
      <c r="I86" s="26">
        <v>14225.389999999998</v>
      </c>
    </row>
    <row r="87" spans="2:9" ht="16" outlineLevel="1">
      <c r="B87" s="21" t="s">
        <v>138</v>
      </c>
      <c r="C87" s="21" t="s">
        <v>9</v>
      </c>
      <c r="D87" s="21" t="s">
        <v>6</v>
      </c>
      <c r="E87" s="21" t="s">
        <v>6</v>
      </c>
      <c r="F87" s="21" t="s">
        <v>139</v>
      </c>
      <c r="G87" s="21" t="s">
        <v>135</v>
      </c>
      <c r="H87" s="26">
        <v>-0.08</v>
      </c>
      <c r="I87" s="26">
        <v>14225.309999999998</v>
      </c>
    </row>
    <row r="88" spans="2:9" ht="16" outlineLevel="1">
      <c r="B88" s="21" t="s">
        <v>138</v>
      </c>
      <c r="C88" s="21" t="s">
        <v>9</v>
      </c>
      <c r="D88" s="21" t="s">
        <v>6</v>
      </c>
      <c r="E88" s="21" t="s">
        <v>6</v>
      </c>
      <c r="F88" s="21" t="s">
        <v>140</v>
      </c>
      <c r="G88" s="21" t="s">
        <v>58</v>
      </c>
      <c r="H88" s="26">
        <v>-24.2</v>
      </c>
      <c r="I88" s="26">
        <v>14201.109999999997</v>
      </c>
    </row>
    <row r="89" spans="2:9" ht="16" outlineLevel="1">
      <c r="B89" s="21" t="s">
        <v>141</v>
      </c>
      <c r="C89" s="21" t="s">
        <v>9</v>
      </c>
      <c r="D89" s="21" t="s">
        <v>6</v>
      </c>
      <c r="E89" s="21" t="s">
        <v>142</v>
      </c>
      <c r="F89" s="21" t="s">
        <v>143</v>
      </c>
      <c r="G89" s="21" t="s">
        <v>80</v>
      </c>
      <c r="H89" s="26">
        <v>-429.0</v>
      </c>
      <c r="I89" s="26">
        <v>13772.109999999997</v>
      </c>
    </row>
    <row r="90" spans="2:9" ht="16" outlineLevel="1">
      <c r="B90" s="21" t="s">
        <v>141</v>
      </c>
      <c r="C90" s="21" t="s">
        <v>9</v>
      </c>
      <c r="D90" s="21" t="s">
        <v>6</v>
      </c>
      <c r="E90" s="21" t="s">
        <v>78</v>
      </c>
      <c r="F90" s="21" t="s">
        <v>144</v>
      </c>
      <c r="G90" s="21" t="s">
        <v>80</v>
      </c>
      <c r="H90" s="26">
        <v>-356.98</v>
      </c>
      <c r="I90" s="26">
        <v>13415.129999999997</v>
      </c>
    </row>
    <row r="91" spans="2:9" ht="16" outlineLevel="1">
      <c r="B91" s="21" t="s">
        <v>141</v>
      </c>
      <c r="C91" s="21" t="s">
        <v>9</v>
      </c>
      <c r="D91" s="21" t="s">
        <v>6</v>
      </c>
      <c r="E91" s="21" t="s">
        <v>6</v>
      </c>
      <c r="F91" s="21" t="s">
        <v>145</v>
      </c>
      <c r="G91" s="21" t="s">
        <v>80</v>
      </c>
      <c r="H91" s="26">
        <v>-537.98</v>
      </c>
      <c r="I91" s="26">
        <v>12877.149999999998</v>
      </c>
    </row>
    <row r="92" spans="2:9" ht="16" outlineLevel="1">
      <c r="B92" s="21" t="s">
        <v>141</v>
      </c>
      <c r="C92" s="21" t="s">
        <v>9</v>
      </c>
      <c r="D92" s="21" t="s">
        <v>6</v>
      </c>
      <c r="E92" s="21" t="s">
        <v>6</v>
      </c>
      <c r="F92" s="21" t="s">
        <v>146</v>
      </c>
      <c r="G92" s="21" t="s">
        <v>80</v>
      </c>
      <c r="H92" s="26">
        <v>-2512.38</v>
      </c>
      <c r="I92" s="26">
        <v>10364.769999999997</v>
      </c>
    </row>
    <row r="93" spans="2:9" ht="16" outlineLevel="1">
      <c r="B93" s="21" t="s">
        <v>141</v>
      </c>
      <c r="C93" s="21" t="s">
        <v>9</v>
      </c>
      <c r="D93" s="21" t="s">
        <v>6</v>
      </c>
      <c r="E93" s="21" t="s">
        <v>6</v>
      </c>
      <c r="F93" s="21" t="s">
        <v>147</v>
      </c>
      <c r="G93" s="21" t="s">
        <v>80</v>
      </c>
      <c r="H93" s="26">
        <v>-408.0</v>
      </c>
      <c r="I93" s="26">
        <v>9956.769999999997</v>
      </c>
    </row>
    <row r="94" spans="2:9" ht="16" outlineLevel="1">
      <c r="B94" s="21" t="s">
        <v>141</v>
      </c>
      <c r="C94" s="21" t="s">
        <v>9</v>
      </c>
      <c r="D94" s="21" t="s">
        <v>6</v>
      </c>
      <c r="E94" s="21" t="s">
        <v>115</v>
      </c>
      <c r="F94" s="21" t="s">
        <v>116</v>
      </c>
      <c r="G94" s="21" t="s">
        <v>80</v>
      </c>
      <c r="H94" s="26">
        <v>-440.0</v>
      </c>
      <c r="I94" s="26">
        <v>9516.769999999997</v>
      </c>
    </row>
    <row r="95" spans="2:9" ht="16" outlineLevel="1">
      <c r="B95" s="21" t="s">
        <v>148</v>
      </c>
      <c r="C95" s="21" t="s">
        <v>9</v>
      </c>
      <c r="D95" s="21" t="s">
        <v>6</v>
      </c>
      <c r="E95" s="21" t="s">
        <v>78</v>
      </c>
      <c r="F95" s="21" t="s">
        <v>149</v>
      </c>
      <c r="G95" s="21" t="s">
        <v>80</v>
      </c>
      <c r="H95" s="26">
        <v>-25.97</v>
      </c>
      <c r="I95" s="26">
        <v>9490.799999999997</v>
      </c>
    </row>
    <row r="96" spans="2:9" ht="16" outlineLevel="1">
      <c r="B96" s="21" t="s">
        <v>150</v>
      </c>
      <c r="C96" s="21" t="s">
        <v>9</v>
      </c>
      <c r="D96" s="21" t="s">
        <v>6</v>
      </c>
      <c r="E96" s="21" t="s">
        <v>32</v>
      </c>
      <c r="F96" s="21" t="s">
        <v>84</v>
      </c>
      <c r="G96" s="21" t="s">
        <v>25</v>
      </c>
      <c r="H96" s="26">
        <v>-5.88</v>
      </c>
      <c r="I96" s="26">
        <v>9484.919999999998</v>
      </c>
    </row>
    <row r="97" spans="2:9" ht="16" outlineLevel="1">
      <c r="B97" s="21" t="s">
        <v>151</v>
      </c>
      <c r="C97" s="21" t="s">
        <v>9</v>
      </c>
      <c r="D97" s="21" t="s">
        <v>6</v>
      </c>
      <c r="E97" s="21" t="s">
        <v>78</v>
      </c>
      <c r="F97" s="21" t="s">
        <v>152</v>
      </c>
      <c r="G97" s="21" t="s">
        <v>80</v>
      </c>
      <c r="H97" s="26">
        <v>-508.17</v>
      </c>
      <c r="I97" s="26">
        <v>8976.749999999998</v>
      </c>
    </row>
    <row r="98" spans="2:9" ht="16" outlineLevel="1">
      <c r="B98" s="21" t="s">
        <v>151</v>
      </c>
      <c r="C98" s="21" t="s">
        <v>9</v>
      </c>
      <c r="D98" s="21" t="s">
        <v>6</v>
      </c>
      <c r="E98" s="21" t="s">
        <v>78</v>
      </c>
      <c r="F98" s="21" t="s">
        <v>153</v>
      </c>
      <c r="G98" s="21" t="s">
        <v>80</v>
      </c>
      <c r="H98" s="26">
        <v>-7.48</v>
      </c>
      <c r="I98" s="26">
        <v>8969.269999999999</v>
      </c>
    </row>
    <row r="99" spans="2:9" ht="16" outlineLevel="1">
      <c r="B99" s="21" t="s">
        <v>154</v>
      </c>
      <c r="C99" s="21" t="s">
        <v>9</v>
      </c>
      <c r="D99" s="21" t="s">
        <v>6</v>
      </c>
      <c r="E99" s="21" t="s">
        <v>155</v>
      </c>
      <c r="F99" s="21" t="s">
        <v>156</v>
      </c>
      <c r="G99" s="21" t="s">
        <v>25</v>
      </c>
      <c r="H99" s="26">
        <v>-1.92</v>
      </c>
      <c r="I99" s="26">
        <v>8967.349999999999</v>
      </c>
    </row>
    <row r="100" spans="2:9" ht="16" outlineLevel="1">
      <c r="B100" s="21" t="s">
        <v>154</v>
      </c>
      <c r="C100" s="21" t="s">
        <v>9</v>
      </c>
      <c r="D100" s="21" t="s">
        <v>6</v>
      </c>
      <c r="E100" s="21" t="s">
        <v>78</v>
      </c>
      <c r="F100" s="21" t="s">
        <v>157</v>
      </c>
      <c r="G100" s="21" t="s">
        <v>80</v>
      </c>
      <c r="H100" s="26">
        <v>-499.99</v>
      </c>
      <c r="I100" s="26">
        <v>8467.359999999999</v>
      </c>
    </row>
    <row r="101" spans="2:9" ht="16" outlineLevel="1">
      <c r="B101" s="21" t="s">
        <v>158</v>
      </c>
      <c r="C101" s="21" t="s">
        <v>9</v>
      </c>
      <c r="D101" s="21" t="s">
        <v>6</v>
      </c>
      <c r="E101" s="21" t="s">
        <v>6</v>
      </c>
      <c r="F101" s="21" t="s">
        <v>89</v>
      </c>
      <c r="G101" s="21" t="s">
        <v>58</v>
      </c>
      <c r="H101" s="26">
        <v>-200.0</v>
      </c>
      <c r="I101" s="26">
        <v>8267.359999999999</v>
      </c>
    </row>
    <row r="102" spans="2:9" ht="16" outlineLevel="1">
      <c r="B102" s="21" t="s">
        <v>158</v>
      </c>
      <c r="C102" s="21" t="s">
        <v>5</v>
      </c>
      <c r="D102" s="21" t="s">
        <v>6</v>
      </c>
      <c r="E102" s="21" t="s">
        <v>6</v>
      </c>
      <c r="F102" s="21" t="s">
        <v>159</v>
      </c>
      <c r="G102" s="21" t="s">
        <v>80</v>
      </c>
      <c r="H102" s="26">
        <v>7.48</v>
      </c>
      <c r="I102" s="26">
        <v>8274.839999999998</v>
      </c>
    </row>
    <row r="103" spans="2:9" ht="16" outlineLevel="1">
      <c r="B103" s="21" t="s">
        <v>160</v>
      </c>
      <c r="C103" s="21" t="s">
        <v>9</v>
      </c>
      <c r="D103" s="21" t="s">
        <v>6</v>
      </c>
      <c r="E103" s="21" t="s">
        <v>6</v>
      </c>
      <c r="F103" s="21" t="s">
        <v>161</v>
      </c>
      <c r="G103" s="21" t="s">
        <v>25</v>
      </c>
      <c r="H103" s="26">
        <v>-1.92</v>
      </c>
      <c r="I103" s="26">
        <v>8272.919999999998</v>
      </c>
    </row>
    <row r="104" spans="2:9" ht="16" outlineLevel="1">
      <c r="B104" s="21" t="s">
        <v>162</v>
      </c>
      <c r="C104" s="21" t="s">
        <v>5</v>
      </c>
      <c r="D104" s="21" t="s">
        <v>6</v>
      </c>
      <c r="E104" s="21" t="s">
        <v>6</v>
      </c>
      <c r="F104" s="21" t="s">
        <v>163</v>
      </c>
      <c r="G104" s="21" t="s">
        <v>80</v>
      </c>
      <c r="H104" s="26">
        <v>440.0</v>
      </c>
      <c r="I104" s="26">
        <v>8712.919999999998</v>
      </c>
    </row>
    <row r="105" spans="2:9" ht="16" outlineLevel="1">
      <c r="B105" s="21" t="s">
        <v>164</v>
      </c>
      <c r="C105" s="21" t="s">
        <v>9</v>
      </c>
      <c r="D105" s="21" t="s">
        <v>6</v>
      </c>
      <c r="E105" s="21" t="s">
        <v>78</v>
      </c>
      <c r="F105" s="21" t="s">
        <v>165</v>
      </c>
      <c r="G105" s="21" t="s">
        <v>80</v>
      </c>
      <c r="H105" s="26">
        <v>-10.99</v>
      </c>
      <c r="I105" s="26">
        <v>8701.929999999998</v>
      </c>
    </row>
    <row r="106" spans="2:9" ht="16" outlineLevel="1">
      <c r="B106" s="21" t="s">
        <v>166</v>
      </c>
      <c r="C106" s="21" t="s">
        <v>9</v>
      </c>
      <c r="D106" s="21" t="s">
        <v>6</v>
      </c>
      <c r="E106" s="21" t="s">
        <v>6</v>
      </c>
      <c r="F106" s="21" t="s">
        <v>167</v>
      </c>
      <c r="G106" s="21" t="s">
        <v>58</v>
      </c>
      <c r="H106" s="26">
        <v>-105.69</v>
      </c>
      <c r="I106" s="26">
        <v>8596.239999999998</v>
      </c>
    </row>
    <row r="107" spans="2:9" ht="16" outlineLevel="1">
      <c r="B107" s="21" t="s">
        <v>166</v>
      </c>
      <c r="C107" s="21" t="s">
        <v>9</v>
      </c>
      <c r="D107" s="21" t="s">
        <v>6</v>
      </c>
      <c r="E107" s="21" t="s">
        <v>6</v>
      </c>
      <c r="F107" s="21" t="s">
        <v>168</v>
      </c>
      <c r="G107" s="21" t="s">
        <v>53</v>
      </c>
      <c r="H107" s="26">
        <v>-0.37</v>
      </c>
      <c r="I107" s="26">
        <v>8595.869999999997</v>
      </c>
    </row>
    <row r="108" spans="2:9" ht="16" outlineLevel="1">
      <c r="B108" s="21" t="s">
        <v>169</v>
      </c>
      <c r="C108" s="21" t="s">
        <v>5</v>
      </c>
      <c r="D108" s="21" t="s">
        <v>6</v>
      </c>
      <c r="E108" s="21" t="s">
        <v>6</v>
      </c>
      <c r="F108" s="21" t="s">
        <v>95</v>
      </c>
      <c r="G108" s="21" t="s">
        <v>49</v>
      </c>
      <c r="H108" s="26">
        <v>31.13</v>
      </c>
      <c r="I108" s="26">
        <v>8626.999999999996</v>
      </c>
    </row>
    <row r="109" spans="2:9" ht="16" outlineLevel="1">
      <c r="B109" s="21" t="s">
        <v>169</v>
      </c>
      <c r="C109" s="21" t="s">
        <v>9</v>
      </c>
      <c r="D109" s="21" t="s">
        <v>6</v>
      </c>
      <c r="E109" s="21" t="s">
        <v>170</v>
      </c>
      <c r="F109" s="21" t="s">
        <v>96</v>
      </c>
      <c r="G109" s="21" t="s">
        <v>58</v>
      </c>
      <c r="H109" s="26">
        <v>-312.0</v>
      </c>
      <c r="I109" s="26">
        <v>8314.999999999996</v>
      </c>
    </row>
    <row r="110" spans="2:9" ht="16" outlineLevel="1">
      <c r="B110" s="21" t="s">
        <v>171</v>
      </c>
      <c r="C110" s="21" t="s">
        <v>9</v>
      </c>
      <c r="D110" s="21" t="s">
        <v>6</v>
      </c>
      <c r="E110" s="21" t="s">
        <v>172</v>
      </c>
      <c r="F110" s="21" t="s">
        <v>132</v>
      </c>
      <c r="G110" s="21" t="s">
        <v>58</v>
      </c>
      <c r="H110" s="26">
        <v>-4.0</v>
      </c>
      <c r="I110" s="26">
        <v>8310.999999999996</v>
      </c>
    </row>
    <row r="111" spans="2:9" ht="16" outlineLevel="1">
      <c r="B111" s="21" t="s">
        <v>173</v>
      </c>
      <c r="C111" s="21" t="s">
        <v>9</v>
      </c>
      <c r="D111" s="21" t="s">
        <v>6</v>
      </c>
      <c r="E111" s="21" t="s">
        <v>62</v>
      </c>
      <c r="F111" s="21" t="s">
        <v>63</v>
      </c>
      <c r="G111" s="21" t="s">
        <v>58</v>
      </c>
      <c r="H111" s="26">
        <v>-9.49</v>
      </c>
      <c r="I111" s="26">
        <v>8301.509999999997</v>
      </c>
    </row>
    <row r="112" spans="2:9" ht="16" outlineLevel="1">
      <c r="B112" s="21" t="s">
        <v>173</v>
      </c>
      <c r="C112" s="21" t="s">
        <v>9</v>
      </c>
      <c r="D112" s="21" t="s">
        <v>6</v>
      </c>
      <c r="E112" s="21" t="s">
        <v>174</v>
      </c>
      <c r="F112" s="21" t="s">
        <v>175</v>
      </c>
      <c r="G112" s="21" t="s">
        <v>58</v>
      </c>
      <c r="H112" s="26">
        <v>-180.0</v>
      </c>
      <c r="I112" s="26">
        <v>8121.509999999997</v>
      </c>
    </row>
    <row r="113" spans="2:9" ht="16" outlineLevel="1">
      <c r="B113" s="21" t="s">
        <v>176</v>
      </c>
      <c r="C113" s="21" t="s">
        <v>9</v>
      </c>
      <c r="D113" s="21" t="s">
        <v>6</v>
      </c>
      <c r="E113" s="21" t="s">
        <v>6</v>
      </c>
      <c r="F113" s="21" t="s">
        <v>73</v>
      </c>
      <c r="G113" s="21" t="s">
        <v>35</v>
      </c>
      <c r="H113" s="26">
        <v>-300.0</v>
      </c>
      <c r="I113" s="26">
        <v>7821.509999999997</v>
      </c>
    </row>
    <row r="114" spans="2:9" ht="16" outlineLevel="1">
      <c r="B114" s="21" t="s">
        <v>176</v>
      </c>
      <c r="C114" s="21" t="s">
        <v>9</v>
      </c>
      <c r="D114" s="21" t="s">
        <v>6</v>
      </c>
      <c r="E114" s="21" t="s">
        <v>43</v>
      </c>
      <c r="F114" s="21" t="s">
        <v>177</v>
      </c>
      <c r="G114" s="21" t="s">
        <v>53</v>
      </c>
      <c r="H114" s="26">
        <v>-0.63</v>
      </c>
      <c r="I114" s="26">
        <v>7820.8799999999965</v>
      </c>
    </row>
    <row r="115" spans="2:9" ht="16" outlineLevel="1">
      <c r="B115" s="21" t="s">
        <v>176</v>
      </c>
      <c r="C115" s="21" t="s">
        <v>9</v>
      </c>
      <c r="D115" s="21" t="s">
        <v>6</v>
      </c>
      <c r="E115" s="21" t="s">
        <v>178</v>
      </c>
      <c r="F115" s="21" t="s">
        <v>179</v>
      </c>
      <c r="G115" s="21" t="s">
        <v>58</v>
      </c>
      <c r="H115" s="26">
        <v>-181.14</v>
      </c>
      <c r="I115" s="26">
        <v>7639.739999999996</v>
      </c>
    </row>
    <row r="116" spans="2:9" ht="16" outlineLevel="1">
      <c r="B116" s="21" t="s">
        <v>180</v>
      </c>
      <c r="C116" s="21" t="s">
        <v>9</v>
      </c>
      <c r="D116" s="21" t="s">
        <v>6</v>
      </c>
      <c r="E116" s="21" t="s">
        <v>6</v>
      </c>
      <c r="F116" s="21" t="s">
        <v>66</v>
      </c>
      <c r="G116" s="21" t="s">
        <v>67</v>
      </c>
      <c r="H116" s="26">
        <v>-157.13</v>
      </c>
      <c r="I116" s="26">
        <v>7482.609999999996</v>
      </c>
    </row>
    <row r="117" spans="2:9" ht="16" outlineLevel="1">
      <c r="B117" s="21" t="s">
        <v>180</v>
      </c>
      <c r="C117" s="21" t="s">
        <v>9</v>
      </c>
      <c r="D117" s="21" t="s">
        <v>6</v>
      </c>
      <c r="E117" s="21" t="s">
        <v>6</v>
      </c>
      <c r="F117" s="21" t="s">
        <v>66</v>
      </c>
      <c r="G117" s="21" t="s">
        <v>67</v>
      </c>
      <c r="H117" s="26">
        <v>-157.12</v>
      </c>
      <c r="I117" s="26">
        <v>7325.489999999996</v>
      </c>
    </row>
    <row r="118" spans="2:9" ht="16" outlineLevel="1">
      <c r="B118" s="21" t="s">
        <v>180</v>
      </c>
      <c r="C118" s="21" t="s">
        <v>9</v>
      </c>
      <c r="D118" s="21" t="s">
        <v>6</v>
      </c>
      <c r="E118" s="21" t="s">
        <v>6</v>
      </c>
      <c r="F118" s="21" t="s">
        <v>73</v>
      </c>
      <c r="G118" s="21" t="s">
        <v>35</v>
      </c>
      <c r="H118" s="26">
        <v>-747.5</v>
      </c>
      <c r="I118" s="26">
        <v>6577.989999999996</v>
      </c>
    </row>
    <row r="119" spans="2:9" ht="16" outlineLevel="1">
      <c r="B119" s="21" t="s">
        <v>181</v>
      </c>
      <c r="C119" s="21" t="s">
        <v>9</v>
      </c>
      <c r="D119" s="21" t="s">
        <v>6</v>
      </c>
      <c r="E119" s="21" t="s">
        <v>6</v>
      </c>
      <c r="F119" s="21" t="s">
        <v>73</v>
      </c>
      <c r="G119" s="21" t="s">
        <v>182</v>
      </c>
      <c r="H119" s="26">
        <v>-1000.0</v>
      </c>
      <c r="I119" s="26">
        <v>5577.989999999996</v>
      </c>
    </row>
    <row r="120" spans="2:9" ht="16" outlineLevel="1">
      <c r="B120" s="21" t="s">
        <v>183</v>
      </c>
      <c r="C120" s="21" t="s">
        <v>9</v>
      </c>
      <c r="D120" s="21" t="s">
        <v>6</v>
      </c>
      <c r="E120" s="21" t="s">
        <v>32</v>
      </c>
      <c r="F120" s="21" t="s">
        <v>184</v>
      </c>
      <c r="G120" s="21" t="s">
        <v>25</v>
      </c>
      <c r="H120" s="26">
        <v>-5.88</v>
      </c>
      <c r="I120" s="26">
        <v>5572.109999999996</v>
      </c>
    </row>
    <row r="121" spans="2:9" ht="16" outlineLevel="1">
      <c r="B121" s="21" t="s">
        <v>185</v>
      </c>
      <c r="C121" s="21" t="s">
        <v>9</v>
      </c>
      <c r="D121" s="21" t="s">
        <v>6</v>
      </c>
      <c r="E121" s="21" t="s">
        <v>78</v>
      </c>
      <c r="F121" s="21" t="s">
        <v>186</v>
      </c>
      <c r="G121" s="21" t="s">
        <v>80</v>
      </c>
      <c r="H121" s="26">
        <v>-3.82</v>
      </c>
      <c r="I121" s="26">
        <v>5568.289999999996</v>
      </c>
    </row>
    <row r="122" spans="2:9" ht="16" outlineLevel="1">
      <c r="B122" s="21" t="s">
        <v>185</v>
      </c>
      <c r="C122" s="21" t="s">
        <v>9</v>
      </c>
      <c r="D122" s="21" t="s">
        <v>6</v>
      </c>
      <c r="E122" s="21" t="s">
        <v>6</v>
      </c>
      <c r="F122" s="21" t="s">
        <v>187</v>
      </c>
      <c r="G122" s="21" t="s">
        <v>53</v>
      </c>
      <c r="H122" s="26">
        <v>-0.03</v>
      </c>
      <c r="I122" s="26">
        <v>5568.259999999997</v>
      </c>
    </row>
    <row r="123" spans="2:9" ht="16" outlineLevel="1">
      <c r="B123" s="21" t="s">
        <v>188</v>
      </c>
      <c r="C123" s="21" t="s">
        <v>9</v>
      </c>
      <c r="D123" s="21" t="s">
        <v>6</v>
      </c>
      <c r="E123" s="21" t="s">
        <v>6</v>
      </c>
      <c r="F123" s="21" t="s">
        <v>156</v>
      </c>
      <c r="G123" s="21" t="s">
        <v>25</v>
      </c>
      <c r="H123" s="26">
        <v>-1.92</v>
      </c>
      <c r="I123" s="26">
        <v>5566.3399999999965</v>
      </c>
    </row>
    <row r="124" spans="2:9" ht="16" outlineLevel="1">
      <c r="B124" s="21" t="s">
        <v>189</v>
      </c>
      <c r="C124" s="21" t="s">
        <v>9</v>
      </c>
      <c r="D124" s="21" t="s">
        <v>6</v>
      </c>
      <c r="E124" s="21" t="s">
        <v>6</v>
      </c>
      <c r="F124" s="21" t="s">
        <v>190</v>
      </c>
      <c r="G124" s="21" t="s">
        <v>53</v>
      </c>
      <c r="H124" s="26">
        <v>-0.37</v>
      </c>
      <c r="I124" s="26">
        <v>5565.969999999997</v>
      </c>
    </row>
    <row r="125" spans="2:9" ht="16" outlineLevel="1">
      <c r="B125" s="21" t="s">
        <v>189</v>
      </c>
      <c r="C125" s="21" t="s">
        <v>9</v>
      </c>
      <c r="D125" s="21" t="s">
        <v>6</v>
      </c>
      <c r="E125" s="21" t="s">
        <v>191</v>
      </c>
      <c r="F125" s="21" t="s">
        <v>167</v>
      </c>
      <c r="G125" s="21" t="s">
        <v>58</v>
      </c>
      <c r="H125" s="26">
        <v>-105.0</v>
      </c>
      <c r="I125" s="26">
        <v>5460.969999999997</v>
      </c>
    </row>
    <row r="126" spans="2:9" ht="16" outlineLevel="1">
      <c r="B126" s="21" t="s">
        <v>192</v>
      </c>
      <c r="C126" s="21" t="s">
        <v>5</v>
      </c>
      <c r="D126" s="21" t="s">
        <v>6</v>
      </c>
      <c r="E126" s="21" t="s">
        <v>6</v>
      </c>
      <c r="F126" s="21" t="s">
        <v>95</v>
      </c>
      <c r="G126" s="21" t="s">
        <v>49</v>
      </c>
      <c r="H126" s="26">
        <v>2.04</v>
      </c>
      <c r="I126" s="26">
        <v>5463.009999999997</v>
      </c>
    </row>
    <row r="127" spans="2:9" ht="16" outlineLevel="1">
      <c r="B127" s="21" t="s">
        <v>192</v>
      </c>
      <c r="C127" s="21" t="s">
        <v>9</v>
      </c>
      <c r="D127" s="21" t="s">
        <v>6</v>
      </c>
      <c r="E127" s="21" t="s">
        <v>170</v>
      </c>
      <c r="F127" s="21" t="s">
        <v>96</v>
      </c>
      <c r="G127" s="21" t="s">
        <v>58</v>
      </c>
      <c r="H127" s="26">
        <v>-312.0</v>
      </c>
      <c r="I127" s="26">
        <v>5151.009999999997</v>
      </c>
    </row>
    <row r="128" spans="2:9" ht="16" outlineLevel="1">
      <c r="B128" s="21" t="s">
        <v>193</v>
      </c>
      <c r="C128" s="21" t="s">
        <v>9</v>
      </c>
      <c r="D128" s="21" t="s">
        <v>6</v>
      </c>
      <c r="E128" s="21" t="s">
        <v>172</v>
      </c>
      <c r="F128" s="21" t="s">
        <v>132</v>
      </c>
      <c r="G128" s="21" t="s">
        <v>58</v>
      </c>
      <c r="H128" s="26">
        <v>-4.0</v>
      </c>
      <c r="I128" s="26">
        <v>5147.009999999997</v>
      </c>
    </row>
    <row r="129" spans="2:9" ht="16" outlineLevel="1">
      <c r="B129" s="21" t="s">
        <v>194</v>
      </c>
      <c r="C129" s="21" t="s">
        <v>9</v>
      </c>
      <c r="D129" s="21" t="s">
        <v>6</v>
      </c>
      <c r="E129" s="21" t="s">
        <v>174</v>
      </c>
      <c r="F129" s="21" t="s">
        <v>175</v>
      </c>
      <c r="G129" s="21" t="s">
        <v>58</v>
      </c>
      <c r="H129" s="26">
        <v>-180.0</v>
      </c>
      <c r="I129" s="26">
        <v>4967.009999999997</v>
      </c>
    </row>
    <row r="130" spans="2:9" ht="16" outlineLevel="1">
      <c r="B130" s="21" t="s">
        <v>195</v>
      </c>
      <c r="C130" s="21" t="s">
        <v>9</v>
      </c>
      <c r="D130" s="21" t="s">
        <v>6</v>
      </c>
      <c r="E130" s="21" t="s">
        <v>196</v>
      </c>
      <c r="F130" s="21" t="s">
        <v>89</v>
      </c>
      <c r="G130" s="21" t="s">
        <v>58</v>
      </c>
      <c r="H130" s="26">
        <v>-150.0</v>
      </c>
      <c r="I130" s="26">
        <v>4817.009999999997</v>
      </c>
    </row>
    <row r="131" spans="2:9" ht="16" outlineLevel="1">
      <c r="B131" s="21" t="s">
        <v>197</v>
      </c>
      <c r="C131" s="21" t="s">
        <v>9</v>
      </c>
      <c r="D131" s="21" t="s">
        <v>6</v>
      </c>
      <c r="E131" s="21" t="s">
        <v>6</v>
      </c>
      <c r="F131" s="21" t="s">
        <v>73</v>
      </c>
      <c r="G131" s="21" t="s">
        <v>35</v>
      </c>
      <c r="H131" s="26">
        <v>-300.0</v>
      </c>
      <c r="I131" s="26">
        <v>4517.009999999997</v>
      </c>
    </row>
    <row r="132" spans="2:9" ht="16" outlineLevel="1">
      <c r="B132" s="21" t="s">
        <v>198</v>
      </c>
      <c r="C132" s="21" t="s">
        <v>9</v>
      </c>
      <c r="D132" s="21" t="s">
        <v>6</v>
      </c>
      <c r="E132" s="21" t="s">
        <v>6</v>
      </c>
      <c r="F132" s="21" t="s">
        <v>104</v>
      </c>
      <c r="G132" s="21" t="s">
        <v>67</v>
      </c>
      <c r="H132" s="26">
        <v>-157.12</v>
      </c>
      <c r="I132" s="26">
        <v>4359.889999999997</v>
      </c>
    </row>
    <row r="133" spans="2:9" ht="16" outlineLevel="1">
      <c r="B133" s="21" t="s">
        <v>198</v>
      </c>
      <c r="C133" s="21" t="s">
        <v>9</v>
      </c>
      <c r="D133" s="21" t="s">
        <v>6</v>
      </c>
      <c r="E133" s="21" t="s">
        <v>6</v>
      </c>
      <c r="F133" s="21" t="s">
        <v>73</v>
      </c>
      <c r="G133" s="21" t="s">
        <v>35</v>
      </c>
      <c r="H133" s="26">
        <v>-747.5</v>
      </c>
      <c r="I133" s="26">
        <v>3612.3899999999967</v>
      </c>
    </row>
    <row r="134" spans="2:9" ht="16" outlineLevel="1">
      <c r="B134" s="21" t="s">
        <v>199</v>
      </c>
      <c r="C134" s="21" t="s">
        <v>9</v>
      </c>
      <c r="D134" s="21" t="s">
        <v>6</v>
      </c>
      <c r="E134" s="21" t="s">
        <v>32</v>
      </c>
      <c r="F134" s="21" t="s">
        <v>84</v>
      </c>
      <c r="G134" s="21" t="s">
        <v>25</v>
      </c>
      <c r="H134" s="26">
        <v>-5.8</v>
      </c>
      <c r="I134" s="26">
        <v>3606.5899999999965</v>
      </c>
    </row>
    <row r="135" spans="2:9" ht="16" outlineLevel="1">
      <c r="B135" s="21" t="s">
        <v>200</v>
      </c>
      <c r="C135" s="21" t="s">
        <v>9</v>
      </c>
      <c r="D135" s="21" t="s">
        <v>6</v>
      </c>
      <c r="E135" s="21" t="s">
        <v>62</v>
      </c>
      <c r="F135" s="21" t="s">
        <v>201</v>
      </c>
      <c r="G135" s="21" t="s">
        <v>25</v>
      </c>
      <c r="H135" s="26">
        <v>-18.99</v>
      </c>
      <c r="I135" s="26">
        <v>3587.5999999999967</v>
      </c>
    </row>
    <row r="136" spans="2:9" ht="16" outlineLevel="1">
      <c r="B136" s="21" t="s">
        <v>202</v>
      </c>
      <c r="C136" s="21" t="s">
        <v>9</v>
      </c>
      <c r="D136" s="21" t="s">
        <v>6</v>
      </c>
      <c r="E136" s="21" t="s">
        <v>6</v>
      </c>
      <c r="F136" s="21" t="s">
        <v>73</v>
      </c>
      <c r="G136" s="21" t="s">
        <v>182</v>
      </c>
      <c r="H136" s="26">
        <v>-20000.0</v>
      </c>
      <c r="I136" s="26">
        <v>-16412.4</v>
      </c>
    </row>
    <row r="137" spans="2:9" ht="16" outlineLevel="1">
      <c r="B137" s="21" t="s">
        <v>202</v>
      </c>
      <c r="C137" s="21" t="s">
        <v>5</v>
      </c>
      <c r="D137" s="21" t="s">
        <v>6</v>
      </c>
      <c r="E137" s="21" t="s">
        <v>6</v>
      </c>
      <c r="F137" s="21" t="s">
        <v>54</v>
      </c>
      <c r="G137" s="21" t="s">
        <v>49</v>
      </c>
      <c r="H137" s="26">
        <v>20000.0</v>
      </c>
      <c r="I137" s="26">
        <v>3587.5999999999985</v>
      </c>
    </row>
    <row r="138" spans="2:9" ht="16" outlineLevel="1">
      <c r="B138" s="21" t="s">
        <v>202</v>
      </c>
      <c r="C138" s="21" t="s">
        <v>9</v>
      </c>
      <c r="D138" s="21" t="s">
        <v>6</v>
      </c>
      <c r="E138" s="21" t="s">
        <v>43</v>
      </c>
      <c r="F138" s="21" t="s">
        <v>203</v>
      </c>
      <c r="G138" s="21" t="s">
        <v>53</v>
      </c>
      <c r="H138" s="26">
        <v>-2.16</v>
      </c>
      <c r="I138" s="26">
        <v>3585.4399999999987</v>
      </c>
    </row>
    <row r="139" spans="2:9" ht="16" outlineLevel="1">
      <c r="B139" s="21" t="s">
        <v>202</v>
      </c>
      <c r="C139" s="21" t="s">
        <v>9</v>
      </c>
      <c r="D139" s="21" t="s">
        <v>6</v>
      </c>
      <c r="E139" s="21" t="s">
        <v>6</v>
      </c>
      <c r="F139" s="21" t="s">
        <v>73</v>
      </c>
      <c r="G139" s="21" t="s">
        <v>182</v>
      </c>
      <c r="H139" s="26">
        <v>-207000.0</v>
      </c>
      <c r="I139" s="26">
        <v>-203414.56</v>
      </c>
    </row>
    <row r="140" spans="2:9" ht="16" outlineLevel="1">
      <c r="B140" s="21" t="s">
        <v>202</v>
      </c>
      <c r="C140" s="21" t="s">
        <v>9</v>
      </c>
      <c r="D140" s="21" t="s">
        <v>6</v>
      </c>
      <c r="E140" s="21" t="s">
        <v>43</v>
      </c>
      <c r="F140" s="21" t="s">
        <v>204</v>
      </c>
      <c r="G140" s="21" t="s">
        <v>53</v>
      </c>
      <c r="H140" s="26">
        <v>-2.16</v>
      </c>
      <c r="I140" s="26">
        <v>-203416.72</v>
      </c>
    </row>
    <row r="141" spans="2:9" ht="16" outlineLevel="1">
      <c r="B141" s="21" t="s">
        <v>202</v>
      </c>
      <c r="C141" s="21" t="s">
        <v>5</v>
      </c>
      <c r="D141" s="21" t="s">
        <v>6</v>
      </c>
      <c r="E141" s="21" t="s">
        <v>6</v>
      </c>
      <c r="F141" s="21" t="s">
        <v>54</v>
      </c>
      <c r="G141" s="21" t="s">
        <v>49</v>
      </c>
      <c r="H141" s="26">
        <v>7000.0</v>
      </c>
      <c r="I141" s="26">
        <v>-196416.72</v>
      </c>
    </row>
    <row r="142" spans="2:9" ht="16" outlineLevel="1">
      <c r="B142" s="21" t="s">
        <v>202</v>
      </c>
      <c r="C142" s="21" t="s">
        <v>5</v>
      </c>
      <c r="D142" s="21" t="s">
        <v>6</v>
      </c>
      <c r="E142" s="21" t="s">
        <v>6</v>
      </c>
      <c r="F142" s="21" t="s">
        <v>54</v>
      </c>
      <c r="G142" s="21" t="s">
        <v>49</v>
      </c>
      <c r="H142" s="26">
        <v>200000.0</v>
      </c>
      <c r="I142" s="26">
        <v>3583.279999999999</v>
      </c>
    </row>
    <row r="143" spans="2:9" ht="16" outlineLevel="1">
      <c r="B143" s="21" t="s">
        <v>202</v>
      </c>
      <c r="C143" s="21" t="s">
        <v>9</v>
      </c>
      <c r="D143" s="21" t="s">
        <v>6</v>
      </c>
      <c r="E143" s="21" t="s">
        <v>43</v>
      </c>
      <c r="F143" s="21" t="s">
        <v>205</v>
      </c>
      <c r="G143" s="21" t="s">
        <v>53</v>
      </c>
      <c r="H143" s="26">
        <v>-2.16</v>
      </c>
      <c r="I143" s="26">
        <v>3581.119999999999</v>
      </c>
    </row>
    <row r="144" spans="2:9" ht="16" outlineLevel="1">
      <c r="B144" s="21" t="s">
        <v>202</v>
      </c>
      <c r="C144" s="21" t="s">
        <v>9</v>
      </c>
      <c r="D144" s="21" t="s">
        <v>6</v>
      </c>
      <c r="E144" s="21" t="s">
        <v>6</v>
      </c>
      <c r="F144" s="21" t="s">
        <v>73</v>
      </c>
      <c r="G144" s="21" t="s">
        <v>182</v>
      </c>
      <c r="H144" s="26">
        <v>-219997.84</v>
      </c>
      <c r="I144" s="26">
        <v>-216416.72</v>
      </c>
    </row>
    <row r="145" spans="2:9" ht="16" outlineLevel="1">
      <c r="B145" s="21" t="s">
        <v>202</v>
      </c>
      <c r="C145" s="21" t="s">
        <v>5</v>
      </c>
      <c r="D145" s="21" t="s">
        <v>6</v>
      </c>
      <c r="E145" s="21" t="s">
        <v>6</v>
      </c>
      <c r="F145" s="21" t="s">
        <v>54</v>
      </c>
      <c r="G145" s="21" t="s">
        <v>49</v>
      </c>
      <c r="H145" s="26">
        <v>220000.0</v>
      </c>
      <c r="I145" s="26">
        <v>3583.279999999999</v>
      </c>
    </row>
    <row r="146" spans="2:9" ht="16" outlineLevel="1">
      <c r="B146" s="21" t="s">
        <v>202</v>
      </c>
      <c r="C146" s="21" t="s">
        <v>9</v>
      </c>
      <c r="D146" s="21" t="s">
        <v>6</v>
      </c>
      <c r="E146" s="21" t="s">
        <v>43</v>
      </c>
      <c r="F146" s="21" t="s">
        <v>206</v>
      </c>
      <c r="G146" s="21" t="s">
        <v>53</v>
      </c>
      <c r="H146" s="26">
        <v>-2.16</v>
      </c>
      <c r="I146" s="26">
        <v>3581.119999999999</v>
      </c>
    </row>
    <row r="147" spans="2:9" ht="16" outlineLevel="1">
      <c r="B147" s="21" t="s">
        <v>207</v>
      </c>
      <c r="C147" s="21" t="s">
        <v>9</v>
      </c>
      <c r="D147" s="21" t="s">
        <v>6</v>
      </c>
      <c r="E147" s="21" t="s">
        <v>155</v>
      </c>
      <c r="F147" s="21" t="s">
        <v>156</v>
      </c>
      <c r="G147" s="21" t="s">
        <v>25</v>
      </c>
      <c r="H147" s="26">
        <v>-1.92</v>
      </c>
      <c r="I147" s="26">
        <v>3579.199999999999</v>
      </c>
    </row>
    <row r="148" spans="2:9" ht="16" outlineLevel="1">
      <c r="B148" s="21" t="s">
        <v>208</v>
      </c>
      <c r="C148" s="21" t="s">
        <v>9</v>
      </c>
      <c r="D148" s="21" t="s">
        <v>6</v>
      </c>
      <c r="E148" s="21" t="s">
        <v>43</v>
      </c>
      <c r="F148" s="21" t="s">
        <v>209</v>
      </c>
      <c r="G148" s="21" t="s">
        <v>53</v>
      </c>
      <c r="H148" s="26">
        <v>-0.36</v>
      </c>
      <c r="I148" s="26">
        <v>3578.839999999999</v>
      </c>
    </row>
    <row r="149" spans="2:9" ht="16" outlineLevel="1">
      <c r="B149" s="21" t="s">
        <v>208</v>
      </c>
      <c r="C149" s="21" t="s">
        <v>9</v>
      </c>
      <c r="D149" s="21" t="s">
        <v>6</v>
      </c>
      <c r="E149" s="21" t="s">
        <v>172</v>
      </c>
      <c r="F149" s="21" t="s">
        <v>132</v>
      </c>
      <c r="G149" s="21" t="s">
        <v>58</v>
      </c>
      <c r="H149" s="26">
        <v>-4.0</v>
      </c>
      <c r="I149" s="26">
        <v>3574.839999999999</v>
      </c>
    </row>
    <row r="150" spans="2:9" ht="16" outlineLevel="1">
      <c r="B150" s="21" t="s">
        <v>208</v>
      </c>
      <c r="C150" s="21" t="s">
        <v>9</v>
      </c>
      <c r="D150" s="21" t="s">
        <v>6</v>
      </c>
      <c r="E150" s="21" t="s">
        <v>191</v>
      </c>
      <c r="F150" s="21" t="s">
        <v>210</v>
      </c>
      <c r="G150" s="21" t="s">
        <v>58</v>
      </c>
      <c r="H150" s="26">
        <v>-101.74</v>
      </c>
      <c r="I150" s="26">
        <v>3473.099999999999</v>
      </c>
    </row>
    <row r="151" spans="2:9" ht="16" outlineLevel="1">
      <c r="B151" s="21" t="s">
        <v>211</v>
      </c>
      <c r="C151" s="21" t="s">
        <v>5</v>
      </c>
      <c r="D151" s="21" t="s">
        <v>6</v>
      </c>
      <c r="E151" s="21" t="s">
        <v>196</v>
      </c>
      <c r="F151" s="21" t="s">
        <v>212</v>
      </c>
      <c r="G151" s="21" t="s">
        <v>58</v>
      </c>
      <c r="H151" s="26">
        <v>150.0</v>
      </c>
      <c r="I151" s="26">
        <v>3623.099999999999</v>
      </c>
    </row>
    <row r="152" spans="2:9" ht="16" outlineLevel="1">
      <c r="B152" s="21" t="s">
        <v>213</v>
      </c>
      <c r="C152" s="21" t="s">
        <v>9</v>
      </c>
      <c r="D152" s="21" t="s">
        <v>6</v>
      </c>
      <c r="E152" s="21" t="s">
        <v>43</v>
      </c>
      <c r="F152" s="21" t="s">
        <v>214</v>
      </c>
      <c r="G152" s="21" t="s">
        <v>53</v>
      </c>
      <c r="H152" s="26">
        <v>-2.16</v>
      </c>
      <c r="I152" s="26">
        <v>3620.939999999999</v>
      </c>
    </row>
    <row r="153" spans="2:9" ht="16" outlineLevel="1">
      <c r="B153" s="21" t="s">
        <v>213</v>
      </c>
      <c r="C153" s="21" t="s">
        <v>5</v>
      </c>
      <c r="D153" s="21" t="s">
        <v>6</v>
      </c>
      <c r="E153" s="21" t="s">
        <v>6</v>
      </c>
      <c r="F153" s="21" t="s">
        <v>95</v>
      </c>
      <c r="G153" s="21" t="s">
        <v>49</v>
      </c>
      <c r="H153" s="26">
        <v>1.78</v>
      </c>
      <c r="I153" s="26">
        <v>3622.7199999999993</v>
      </c>
    </row>
    <row r="154" spans="2:9" ht="16" outlineLevel="1">
      <c r="B154" s="21" t="s">
        <v>213</v>
      </c>
      <c r="C154" s="21" t="s">
        <v>5</v>
      </c>
      <c r="D154" s="21" t="s">
        <v>6</v>
      </c>
      <c r="E154" s="21" t="s">
        <v>6</v>
      </c>
      <c r="F154" s="21" t="s">
        <v>54</v>
      </c>
      <c r="G154" s="21" t="s">
        <v>49</v>
      </c>
      <c r="H154" s="26">
        <v>239786.77</v>
      </c>
      <c r="I154" s="26">
        <v>243409.49</v>
      </c>
    </row>
    <row r="155" spans="2:9" ht="16" outlineLevel="1">
      <c r="B155" s="21" t="s">
        <v>213</v>
      </c>
      <c r="C155" s="21" t="s">
        <v>9</v>
      </c>
      <c r="D155" s="21" t="s">
        <v>6</v>
      </c>
      <c r="E155" s="21" t="s">
        <v>170</v>
      </c>
      <c r="F155" s="21" t="s">
        <v>96</v>
      </c>
      <c r="G155" s="21" t="s">
        <v>58</v>
      </c>
      <c r="H155" s="26">
        <v>-312.0</v>
      </c>
      <c r="I155" s="26">
        <v>243097.49</v>
      </c>
    </row>
    <row r="156" spans="2:9" ht="16" outlineLevel="1">
      <c r="B156" s="21" t="s">
        <v>215</v>
      </c>
      <c r="C156" s="21" t="s">
        <v>9</v>
      </c>
      <c r="D156" s="21" t="s">
        <v>6</v>
      </c>
      <c r="E156" s="21" t="s">
        <v>78</v>
      </c>
      <c r="F156" s="21" t="s">
        <v>216</v>
      </c>
      <c r="G156" s="21" t="s">
        <v>80</v>
      </c>
      <c r="H156" s="26">
        <v>-19.95</v>
      </c>
      <c r="I156" s="26">
        <v>243077.53999999998</v>
      </c>
    </row>
    <row r="157" spans="2:9" ht="16" outlineLevel="1">
      <c r="B157" s="21" t="s">
        <v>217</v>
      </c>
      <c r="C157" s="21" t="s">
        <v>9</v>
      </c>
      <c r="D157" s="21" t="s">
        <v>6</v>
      </c>
      <c r="E157" s="21" t="s">
        <v>174</v>
      </c>
      <c r="F157" s="21" t="s">
        <v>175</v>
      </c>
      <c r="G157" s="21" t="s">
        <v>58</v>
      </c>
      <c r="H157" s="26">
        <v>-180.0</v>
      </c>
      <c r="I157" s="26">
        <v>242897.53999999998</v>
      </c>
    </row>
    <row r="158" spans="2:9" ht="16" outlineLevel="1">
      <c r="B158" s="21" t="s">
        <v>218</v>
      </c>
      <c r="C158" s="21" t="s">
        <v>9</v>
      </c>
      <c r="D158" s="21" t="s">
        <v>6</v>
      </c>
      <c r="E158" s="21" t="s">
        <v>170</v>
      </c>
      <c r="F158" s="21" t="s">
        <v>219</v>
      </c>
      <c r="G158" s="21" t="s">
        <v>17</v>
      </c>
      <c r="H158" s="26">
        <v>-34.0</v>
      </c>
      <c r="I158" s="26">
        <v>242863.53999999998</v>
      </c>
    </row>
    <row r="159" spans="2:9" ht="16" outlineLevel="1">
      <c r="B159" s="21" t="s">
        <v>220</v>
      </c>
      <c r="C159" s="21" t="s">
        <v>9</v>
      </c>
      <c r="D159" s="21" t="s">
        <v>6</v>
      </c>
      <c r="E159" s="21" t="s">
        <v>6</v>
      </c>
      <c r="F159" s="21" t="s">
        <v>221</v>
      </c>
      <c r="G159" s="21" t="s">
        <v>53</v>
      </c>
      <c r="H159" s="26">
        <v>-0.02</v>
      </c>
      <c r="I159" s="26">
        <v>242863.52</v>
      </c>
    </row>
    <row r="160" spans="2:9" ht="16" outlineLevel="1">
      <c r="B160" s="21" t="s">
        <v>220</v>
      </c>
      <c r="C160" s="21" t="s">
        <v>9</v>
      </c>
      <c r="D160" s="21" t="s">
        <v>6</v>
      </c>
      <c r="E160" s="21" t="s">
        <v>6</v>
      </c>
      <c r="F160" s="21" t="s">
        <v>73</v>
      </c>
      <c r="G160" s="21" t="s">
        <v>35</v>
      </c>
      <c r="H160" s="26">
        <v>-300.0</v>
      </c>
      <c r="I160" s="26">
        <v>242563.52</v>
      </c>
    </row>
    <row r="161" spans="2:9" ht="16" outlineLevel="1">
      <c r="B161" s="21" t="s">
        <v>220</v>
      </c>
      <c r="C161" s="21" t="s">
        <v>9</v>
      </c>
      <c r="D161" s="21" t="s">
        <v>6</v>
      </c>
      <c r="E161" s="21" t="s">
        <v>6</v>
      </c>
      <c r="F161" s="21" t="s">
        <v>222</v>
      </c>
      <c r="G161" s="21" t="s">
        <v>223</v>
      </c>
      <c r="H161" s="26">
        <v>-8.26</v>
      </c>
      <c r="I161" s="26">
        <v>242555.25999999998</v>
      </c>
    </row>
    <row r="162" spans="2:9" ht="16" outlineLevel="1">
      <c r="B162" s="21" t="s">
        <v>224</v>
      </c>
      <c r="C162" s="21" t="s">
        <v>9</v>
      </c>
      <c r="D162" s="21" t="s">
        <v>6</v>
      </c>
      <c r="E162" s="21" t="s">
        <v>6</v>
      </c>
      <c r="F162" s="21" t="s">
        <v>73</v>
      </c>
      <c r="G162" s="21" t="s">
        <v>35</v>
      </c>
      <c r="H162" s="26">
        <v>-747.5</v>
      </c>
      <c r="I162" s="26">
        <v>241807.75999999998</v>
      </c>
    </row>
    <row r="163" spans="2:9" ht="16" outlineLevel="1">
      <c r="B163" s="21" t="s">
        <v>225</v>
      </c>
      <c r="C163" s="21" t="s">
        <v>9</v>
      </c>
      <c r="D163" s="21" t="s">
        <v>6</v>
      </c>
      <c r="E163" s="21" t="s">
        <v>6</v>
      </c>
      <c r="F163" s="21" t="s">
        <v>104</v>
      </c>
      <c r="G163" s="21" t="s">
        <v>67</v>
      </c>
      <c r="H163" s="26">
        <v>-157.13</v>
      </c>
      <c r="I163" s="26">
        <v>241650.62999999998</v>
      </c>
    </row>
    <row r="164" spans="2:9" ht="16" outlineLevel="1">
      <c r="B164" s="21" t="s">
        <v>226</v>
      </c>
      <c r="C164" s="21" t="s">
        <v>9</v>
      </c>
      <c r="D164" s="21" t="s">
        <v>6</v>
      </c>
      <c r="E164" s="21" t="s">
        <v>62</v>
      </c>
      <c r="F164" s="21" t="s">
        <v>63</v>
      </c>
      <c r="G164" s="21" t="s">
        <v>25</v>
      </c>
      <c r="H164" s="26">
        <v>-18.99</v>
      </c>
      <c r="I164" s="26">
        <v>241631.63999999998</v>
      </c>
    </row>
    <row r="165" spans="2:9" ht="16" outlineLevel="1">
      <c r="B165" s="21" t="s">
        <v>227</v>
      </c>
      <c r="C165" s="21" t="s">
        <v>9</v>
      </c>
      <c r="D165" s="21" t="s">
        <v>6</v>
      </c>
      <c r="E165" s="21" t="s">
        <v>32</v>
      </c>
      <c r="F165" s="21" t="s">
        <v>228</v>
      </c>
      <c r="G165" s="21" t="s">
        <v>25</v>
      </c>
      <c r="H165" s="26">
        <v>-5.8</v>
      </c>
      <c r="I165" s="26">
        <v>241625.84</v>
      </c>
    </row>
    <row r="166" spans="2:9" ht="16" outlineLevel="1">
      <c r="B166" s="21" t="s">
        <v>229</v>
      </c>
      <c r="C166" s="21" t="s">
        <v>9</v>
      </c>
      <c r="D166" s="21" t="s">
        <v>6</v>
      </c>
      <c r="E166" s="21" t="s">
        <v>196</v>
      </c>
      <c r="F166" s="21" t="s">
        <v>230</v>
      </c>
      <c r="G166" s="21" t="s">
        <v>25</v>
      </c>
      <c r="H166" s="26">
        <v>-31.22</v>
      </c>
      <c r="I166" s="26">
        <v>241594.62</v>
      </c>
    </row>
    <row r="167" spans="2:9" ht="16" outlineLevel="1">
      <c r="B167" s="21" t="s">
        <v>231</v>
      </c>
      <c r="C167" s="21" t="s">
        <v>9</v>
      </c>
      <c r="D167" s="21" t="s">
        <v>6</v>
      </c>
      <c r="E167" s="21" t="s">
        <v>232</v>
      </c>
      <c r="F167" s="21" t="s">
        <v>156</v>
      </c>
      <c r="G167" s="21" t="s">
        <v>25</v>
      </c>
      <c r="H167" s="26">
        <v>-1.92</v>
      </c>
      <c r="I167" s="26">
        <v>241592.69999999998</v>
      </c>
    </row>
    <row r="168" spans="2:9" ht="16" outlineLevel="1">
      <c r="B168" s="21" t="s">
        <v>233</v>
      </c>
      <c r="C168" s="21" t="s">
        <v>9</v>
      </c>
      <c r="D168" s="21" t="s">
        <v>6</v>
      </c>
      <c r="E168" s="21" t="s">
        <v>43</v>
      </c>
      <c r="F168" s="21" t="s">
        <v>234</v>
      </c>
      <c r="G168" s="21" t="s">
        <v>53</v>
      </c>
      <c r="H168" s="26">
        <v>-0.17</v>
      </c>
      <c r="I168" s="26">
        <v>241592.52999999997</v>
      </c>
    </row>
    <row r="169" spans="2:9" ht="16" outlineLevel="1">
      <c r="B169" s="21" t="s">
        <v>233</v>
      </c>
      <c r="C169" s="21" t="s">
        <v>9</v>
      </c>
      <c r="D169" s="21" t="s">
        <v>6</v>
      </c>
      <c r="E169" s="21" t="s">
        <v>235</v>
      </c>
      <c r="F169" s="21" t="s">
        <v>236</v>
      </c>
      <c r="G169" s="21" t="s">
        <v>58</v>
      </c>
      <c r="H169" s="26">
        <v>-285.0</v>
      </c>
      <c r="I169" s="26">
        <v>241307.52999999997</v>
      </c>
    </row>
    <row r="170" spans="1:8" ht="16">
      <c r="A170" s="32" t="s">
        <v>237</v>
      </c>
      <c r="H170" s="27">
        <f>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110+H111+H112+H113+H114+H115+H116+H117+H118+H119+H120+H121+H122+H123+H124+H125+H126+H127+H128+H129+H130+H131+H132+H133+H134+H135+H136+H137+H138+H139+H140+H141+H142+H143+H144+H145+H146+H147+H148+H149+H150+H151+H152+H153+H154+H155+H156+H157+H158+H159+H160+H161+H162+H163+H164+H165+H166+H167+H168+H169</f>
        <v>241307.52999999997</v>
      </c>
    </row>
    <row r="171" spans="1:1" ht="16">
      <c r="A171" s="31" t="s">
        <v>80</v>
      </c>
    </row>
    <row r="172" spans="2:9" ht="16" outlineLevel="1">
      <c r="B172" s="21" t="s">
        <v>77</v>
      </c>
      <c r="C172" s="21" t="s">
        <v>9</v>
      </c>
      <c r="D172" s="21" t="s">
        <v>6</v>
      </c>
      <c r="E172" s="21" t="s">
        <v>78</v>
      </c>
      <c r="F172" s="21" t="s">
        <v>79</v>
      </c>
      <c r="G172" s="21" t="s">
        <v>43</v>
      </c>
      <c r="H172" s="26">
        <v>268.99</v>
      </c>
      <c r="I172" s="26">
        <v>268.99</v>
      </c>
    </row>
    <row r="173" spans="2:9" ht="16" outlineLevel="1">
      <c r="B173" s="21" t="s">
        <v>81</v>
      </c>
      <c r="C173" s="21" t="s">
        <v>9</v>
      </c>
      <c r="D173" s="21" t="s">
        <v>6</v>
      </c>
      <c r="E173" s="21" t="s">
        <v>78</v>
      </c>
      <c r="F173" s="21" t="s">
        <v>82</v>
      </c>
      <c r="G173" s="21" t="s">
        <v>43</v>
      </c>
      <c r="H173" s="26">
        <v>39.99</v>
      </c>
      <c r="I173" s="26">
        <v>308.98</v>
      </c>
    </row>
    <row r="174" spans="2:9" ht="16" outlineLevel="1">
      <c r="B174" s="21" t="s">
        <v>92</v>
      </c>
      <c r="C174" s="21" t="s">
        <v>9</v>
      </c>
      <c r="D174" s="21" t="s">
        <v>6</v>
      </c>
      <c r="E174" s="21" t="s">
        <v>78</v>
      </c>
      <c r="F174" s="21" t="s">
        <v>93</v>
      </c>
      <c r="G174" s="21" t="s">
        <v>43</v>
      </c>
      <c r="H174" s="26">
        <v>38.29</v>
      </c>
      <c r="I174" s="26">
        <v>347.27000000000004</v>
      </c>
    </row>
    <row r="175" spans="2:9" ht="16" outlineLevel="1">
      <c r="B175" s="21" t="s">
        <v>100</v>
      </c>
      <c r="C175" s="21" t="s">
        <v>9</v>
      </c>
      <c r="D175" s="21" t="s">
        <v>6</v>
      </c>
      <c r="E175" s="21" t="s">
        <v>78</v>
      </c>
      <c r="F175" s="21" t="s">
        <v>101</v>
      </c>
      <c r="G175" s="21" t="s">
        <v>43</v>
      </c>
      <c r="H175" s="26">
        <v>117.81</v>
      </c>
      <c r="I175" s="26">
        <v>465.08000000000004</v>
      </c>
    </row>
    <row r="176" spans="2:9" ht="16" outlineLevel="1">
      <c r="B176" s="21" t="s">
        <v>113</v>
      </c>
      <c r="C176" s="21" t="s">
        <v>9</v>
      </c>
      <c r="D176" s="21" t="s">
        <v>6</v>
      </c>
      <c r="E176" s="21" t="s">
        <v>78</v>
      </c>
      <c r="F176" s="21" t="s">
        <v>117</v>
      </c>
      <c r="G176" s="21" t="s">
        <v>43</v>
      </c>
      <c r="H176" s="26">
        <v>101.65</v>
      </c>
      <c r="I176" s="26">
        <v>566.73</v>
      </c>
    </row>
    <row r="177" spans="2:9" ht="16" outlineLevel="1">
      <c r="B177" s="21" t="s">
        <v>118</v>
      </c>
      <c r="C177" s="21" t="s">
        <v>9</v>
      </c>
      <c r="D177" s="21" t="s">
        <v>6</v>
      </c>
      <c r="E177" s="21" t="s">
        <v>78</v>
      </c>
      <c r="F177" s="21" t="s">
        <v>119</v>
      </c>
      <c r="G177" s="21" t="s">
        <v>43</v>
      </c>
      <c r="H177" s="26">
        <v>3.78</v>
      </c>
      <c r="I177" s="26">
        <v>570.51</v>
      </c>
    </row>
    <row r="178" spans="2:9" ht="16" outlineLevel="1">
      <c r="B178" s="21" t="s">
        <v>141</v>
      </c>
      <c r="C178" s="21" t="s">
        <v>9</v>
      </c>
      <c r="D178" s="21" t="s">
        <v>6</v>
      </c>
      <c r="E178" s="21" t="s">
        <v>142</v>
      </c>
      <c r="F178" s="21" t="s">
        <v>143</v>
      </c>
      <c r="G178" s="21" t="s">
        <v>43</v>
      </c>
      <c r="H178" s="26">
        <v>429.0</v>
      </c>
      <c r="I178" s="26">
        <v>999.51</v>
      </c>
    </row>
    <row r="179" spans="2:9" ht="16" outlineLevel="1">
      <c r="B179" s="21" t="s">
        <v>141</v>
      </c>
      <c r="C179" s="21" t="s">
        <v>9</v>
      </c>
      <c r="D179" s="21" t="s">
        <v>6</v>
      </c>
      <c r="E179" s="21" t="s">
        <v>78</v>
      </c>
      <c r="F179" s="21" t="s">
        <v>144</v>
      </c>
      <c r="G179" s="21" t="s">
        <v>43</v>
      </c>
      <c r="H179" s="26">
        <v>356.98</v>
      </c>
      <c r="I179" s="26">
        <v>1356.49</v>
      </c>
    </row>
    <row r="180" spans="2:9" ht="16" outlineLevel="1">
      <c r="B180" s="21" t="s">
        <v>141</v>
      </c>
      <c r="C180" s="21" t="s">
        <v>9</v>
      </c>
      <c r="D180" s="21" t="s">
        <v>6</v>
      </c>
      <c r="E180" s="21" t="s">
        <v>6</v>
      </c>
      <c r="F180" s="21" t="s">
        <v>145</v>
      </c>
      <c r="G180" s="21" t="s">
        <v>43</v>
      </c>
      <c r="H180" s="26">
        <v>537.98</v>
      </c>
      <c r="I180" s="26">
        <v>1894.47</v>
      </c>
    </row>
    <row r="181" spans="2:9" ht="16" outlineLevel="1">
      <c r="B181" s="21" t="s">
        <v>141</v>
      </c>
      <c r="C181" s="21" t="s">
        <v>9</v>
      </c>
      <c r="D181" s="21" t="s">
        <v>6</v>
      </c>
      <c r="E181" s="21" t="s">
        <v>6</v>
      </c>
      <c r="F181" s="21" t="s">
        <v>146</v>
      </c>
      <c r="G181" s="21" t="s">
        <v>43</v>
      </c>
      <c r="H181" s="26">
        <v>2512.38</v>
      </c>
      <c r="I181" s="26">
        <v>4406.85</v>
      </c>
    </row>
    <row r="182" spans="2:9" ht="16" outlineLevel="1">
      <c r="B182" s="21" t="s">
        <v>141</v>
      </c>
      <c r="C182" s="21" t="s">
        <v>9</v>
      </c>
      <c r="D182" s="21" t="s">
        <v>6</v>
      </c>
      <c r="E182" s="21" t="s">
        <v>6</v>
      </c>
      <c r="F182" s="21" t="s">
        <v>147</v>
      </c>
      <c r="G182" s="21" t="s">
        <v>43</v>
      </c>
      <c r="H182" s="26">
        <v>408.0</v>
      </c>
      <c r="I182" s="26">
        <v>4814.85</v>
      </c>
    </row>
    <row r="183" spans="2:9" ht="16" outlineLevel="1">
      <c r="B183" s="21" t="s">
        <v>141</v>
      </c>
      <c r="C183" s="21" t="s">
        <v>9</v>
      </c>
      <c r="D183" s="21" t="s">
        <v>6</v>
      </c>
      <c r="E183" s="21" t="s">
        <v>115</v>
      </c>
      <c r="F183" s="21" t="s">
        <v>116</v>
      </c>
      <c r="G183" s="21" t="s">
        <v>43</v>
      </c>
      <c r="H183" s="26">
        <v>440.0</v>
      </c>
      <c r="I183" s="26">
        <v>5254.85</v>
      </c>
    </row>
    <row r="184" spans="2:9" ht="16" outlineLevel="1">
      <c r="B184" s="21" t="s">
        <v>148</v>
      </c>
      <c r="C184" s="21" t="s">
        <v>9</v>
      </c>
      <c r="D184" s="21" t="s">
        <v>6</v>
      </c>
      <c r="E184" s="21" t="s">
        <v>78</v>
      </c>
      <c r="F184" s="21" t="s">
        <v>149</v>
      </c>
      <c r="G184" s="21" t="s">
        <v>43</v>
      </c>
      <c r="H184" s="26">
        <v>25.97</v>
      </c>
      <c r="I184" s="26">
        <v>5280.820000000001</v>
      </c>
    </row>
    <row r="185" spans="2:9" ht="16" outlineLevel="1">
      <c r="B185" s="21" t="s">
        <v>151</v>
      </c>
      <c r="C185" s="21" t="s">
        <v>9</v>
      </c>
      <c r="D185" s="21" t="s">
        <v>6</v>
      </c>
      <c r="E185" s="21" t="s">
        <v>78</v>
      </c>
      <c r="F185" s="21" t="s">
        <v>152</v>
      </c>
      <c r="G185" s="21" t="s">
        <v>43</v>
      </c>
      <c r="H185" s="26">
        <v>508.17</v>
      </c>
      <c r="I185" s="26">
        <v>5788.990000000001</v>
      </c>
    </row>
    <row r="186" spans="2:9" ht="16" outlineLevel="1">
      <c r="B186" s="21" t="s">
        <v>151</v>
      </c>
      <c r="C186" s="21" t="s">
        <v>9</v>
      </c>
      <c r="D186" s="21" t="s">
        <v>6</v>
      </c>
      <c r="E186" s="21" t="s">
        <v>78</v>
      </c>
      <c r="F186" s="21" t="s">
        <v>153</v>
      </c>
      <c r="G186" s="21" t="s">
        <v>43</v>
      </c>
      <c r="H186" s="26">
        <v>7.48</v>
      </c>
      <c r="I186" s="26">
        <v>5796.47</v>
      </c>
    </row>
    <row r="187" spans="2:9" ht="16" outlineLevel="1">
      <c r="B187" s="21" t="s">
        <v>154</v>
      </c>
      <c r="C187" s="21" t="s">
        <v>9</v>
      </c>
      <c r="D187" s="21" t="s">
        <v>6</v>
      </c>
      <c r="E187" s="21" t="s">
        <v>78</v>
      </c>
      <c r="F187" s="21" t="s">
        <v>157</v>
      </c>
      <c r="G187" s="21" t="s">
        <v>43</v>
      </c>
      <c r="H187" s="26">
        <v>499.99</v>
      </c>
      <c r="I187" s="26">
        <v>6296.46</v>
      </c>
    </row>
    <row r="188" spans="2:9" ht="16" outlineLevel="1">
      <c r="B188" s="21" t="s">
        <v>158</v>
      </c>
      <c r="C188" s="21" t="s">
        <v>5</v>
      </c>
      <c r="D188" s="21" t="s">
        <v>6</v>
      </c>
      <c r="E188" s="21" t="s">
        <v>6</v>
      </c>
      <c r="F188" s="21" t="s">
        <v>159</v>
      </c>
      <c r="G188" s="21" t="s">
        <v>43</v>
      </c>
      <c r="H188" s="26">
        <v>-7.48</v>
      </c>
      <c r="I188" s="26">
        <v>6288.9800000000005</v>
      </c>
    </row>
    <row r="189" spans="2:9" ht="16" outlineLevel="1">
      <c r="B189" s="21" t="s">
        <v>162</v>
      </c>
      <c r="C189" s="21" t="s">
        <v>5</v>
      </c>
      <c r="D189" s="21" t="s">
        <v>6</v>
      </c>
      <c r="E189" s="21" t="s">
        <v>6</v>
      </c>
      <c r="F189" s="21" t="s">
        <v>163</v>
      </c>
      <c r="G189" s="21" t="s">
        <v>43</v>
      </c>
      <c r="H189" s="26">
        <v>-440.0</v>
      </c>
      <c r="I189" s="26">
        <v>5848.9800000000005</v>
      </c>
    </row>
    <row r="190" spans="2:9" ht="16" outlineLevel="1">
      <c r="B190" s="21" t="s">
        <v>164</v>
      </c>
      <c r="C190" s="21" t="s">
        <v>9</v>
      </c>
      <c r="D190" s="21" t="s">
        <v>6</v>
      </c>
      <c r="E190" s="21" t="s">
        <v>78</v>
      </c>
      <c r="F190" s="21" t="s">
        <v>165</v>
      </c>
      <c r="G190" s="21" t="s">
        <v>43</v>
      </c>
      <c r="H190" s="26">
        <v>10.99</v>
      </c>
      <c r="I190" s="26">
        <v>5859.97</v>
      </c>
    </row>
    <row r="191" spans="2:9" ht="16" outlineLevel="1">
      <c r="B191" s="21" t="s">
        <v>185</v>
      </c>
      <c r="C191" s="21" t="s">
        <v>9</v>
      </c>
      <c r="D191" s="21" t="s">
        <v>6</v>
      </c>
      <c r="E191" s="21" t="s">
        <v>78</v>
      </c>
      <c r="F191" s="21" t="s">
        <v>186</v>
      </c>
      <c r="G191" s="21" t="s">
        <v>43</v>
      </c>
      <c r="H191" s="26">
        <v>3.82</v>
      </c>
      <c r="I191" s="26">
        <v>5863.79</v>
      </c>
    </row>
    <row r="192" spans="2:9" ht="16" outlineLevel="1">
      <c r="B192" s="21" t="s">
        <v>215</v>
      </c>
      <c r="C192" s="21" t="s">
        <v>9</v>
      </c>
      <c r="D192" s="21" t="s">
        <v>6</v>
      </c>
      <c r="E192" s="21" t="s">
        <v>78</v>
      </c>
      <c r="F192" s="21" t="s">
        <v>216</v>
      </c>
      <c r="G192" s="21" t="s">
        <v>43</v>
      </c>
      <c r="H192" s="26">
        <v>19.95</v>
      </c>
      <c r="I192" s="26">
        <v>5883.74</v>
      </c>
    </row>
    <row r="193" spans="1:8" ht="16">
      <c r="A193" s="32" t="s">
        <v>238</v>
      </c>
      <c r="H193" s="27">
        <f>H172+H173+H174+H175+H176+H177+H178+H179+H180+H181+H182+H183+H184+H185+H186+H187+H188+H189+H190+H191+H192</f>
        <v>5883.74</v>
      </c>
    </row>
    <row r="194" spans="1:1" ht="16">
      <c r="A194" s="31" t="s">
        <v>8</v>
      </c>
    </row>
    <row r="195" spans="2:9" ht="16" outlineLevel="1">
      <c r="B195" s="21" t="s">
        <v>4</v>
      </c>
      <c r="C195" s="21" t="s">
        <v>5</v>
      </c>
      <c r="D195" s="21" t="s">
        <v>6</v>
      </c>
      <c r="E195" s="21" t="s">
        <v>6</v>
      </c>
      <c r="F195" s="21" t="s">
        <v>7</v>
      </c>
      <c r="G195" s="21" t="s">
        <v>3</v>
      </c>
      <c r="H195" s="26">
        <v>10000.0</v>
      </c>
      <c r="I195" s="26">
        <v>10000.0</v>
      </c>
    </row>
    <row r="196" spans="2:9" ht="16" outlineLevel="1">
      <c r="B196" s="21" t="s">
        <v>4</v>
      </c>
      <c r="C196" s="21" t="s">
        <v>5</v>
      </c>
      <c r="D196" s="21" t="s">
        <v>6</v>
      </c>
      <c r="E196" s="21" t="s">
        <v>6</v>
      </c>
      <c r="F196" s="21" t="s">
        <v>7</v>
      </c>
      <c r="G196" s="21" t="s">
        <v>3</v>
      </c>
      <c r="H196" s="26">
        <v>5000.0</v>
      </c>
      <c r="I196" s="26">
        <v>15000.0</v>
      </c>
    </row>
    <row r="197" spans="1:8" ht="16">
      <c r="A197" s="32" t="s">
        <v>239</v>
      </c>
      <c r="H197" s="27">
        <f>H195+H196</f>
        <v>15000.0</v>
      </c>
    </row>
    <row r="198" spans="1:1" ht="16">
      <c r="A198" s="31" t="s">
        <v>182</v>
      </c>
    </row>
    <row r="199" spans="2:9" ht="16" outlineLevel="1">
      <c r="B199" s="21" t="s">
        <v>181</v>
      </c>
      <c r="C199" s="21" t="s">
        <v>9</v>
      </c>
      <c r="D199" s="21" t="s">
        <v>6</v>
      </c>
      <c r="E199" s="21" t="s">
        <v>6</v>
      </c>
      <c r="F199" s="21" t="s">
        <v>73</v>
      </c>
      <c r="G199" s="21" t="s">
        <v>43</v>
      </c>
      <c r="H199" s="26">
        <v>-1000.0</v>
      </c>
      <c r="I199" s="26">
        <v>-1000.0</v>
      </c>
    </row>
    <row r="200" spans="2:9" ht="16" outlineLevel="1">
      <c r="B200" s="21" t="s">
        <v>202</v>
      </c>
      <c r="C200" s="21" t="s">
        <v>9</v>
      </c>
      <c r="D200" s="21" t="s">
        <v>6</v>
      </c>
      <c r="E200" s="21" t="s">
        <v>6</v>
      </c>
      <c r="F200" s="21" t="s">
        <v>73</v>
      </c>
      <c r="G200" s="21" t="s">
        <v>43</v>
      </c>
      <c r="H200" s="26">
        <v>-20000.0</v>
      </c>
      <c r="I200" s="26">
        <v>-21000.0</v>
      </c>
    </row>
    <row r="201" spans="2:9" ht="16" outlineLevel="1">
      <c r="B201" s="21" t="s">
        <v>202</v>
      </c>
      <c r="C201" s="21" t="s">
        <v>9</v>
      </c>
      <c r="D201" s="21" t="s">
        <v>6</v>
      </c>
      <c r="E201" s="21" t="s">
        <v>6</v>
      </c>
      <c r="F201" s="21" t="s">
        <v>73</v>
      </c>
      <c r="G201" s="21" t="s">
        <v>43</v>
      </c>
      <c r="H201" s="26">
        <v>-207000.0</v>
      </c>
      <c r="I201" s="26">
        <v>-228000.0</v>
      </c>
    </row>
    <row r="202" spans="2:9" ht="16" outlineLevel="1">
      <c r="B202" s="21" t="s">
        <v>202</v>
      </c>
      <c r="C202" s="21" t="s">
        <v>9</v>
      </c>
      <c r="D202" s="21" t="s">
        <v>6</v>
      </c>
      <c r="E202" s="21" t="s">
        <v>6</v>
      </c>
      <c r="F202" s="21" t="s">
        <v>73</v>
      </c>
      <c r="G202" s="21" t="s">
        <v>43</v>
      </c>
      <c r="H202" s="26">
        <v>-219997.84</v>
      </c>
      <c r="I202" s="26">
        <v>-447997.83999999997</v>
      </c>
    </row>
    <row r="203" spans="1:8" ht="16">
      <c r="A203" s="32" t="s">
        <v>240</v>
      </c>
      <c r="H203" s="27">
        <f>H199+H200+H201+H202</f>
        <v>-447997.83999999997</v>
      </c>
    </row>
    <row r="204" spans="1:1" ht="16">
      <c r="A204" s="31" t="s">
        <v>126</v>
      </c>
    </row>
    <row r="205" spans="2:9" ht="16" outlineLevel="1">
      <c r="B205" s="21" t="s">
        <v>125</v>
      </c>
      <c r="C205" s="21" t="s">
        <v>9</v>
      </c>
      <c r="D205" s="21" t="s">
        <v>6</v>
      </c>
      <c r="E205" s="21" t="s">
        <v>6</v>
      </c>
      <c r="F205" s="21" t="s">
        <v>73</v>
      </c>
      <c r="G205" s="21" t="s">
        <v>43</v>
      </c>
      <c r="H205" s="26">
        <v>-64500.0</v>
      </c>
      <c r="I205" s="26">
        <v>-64500.0</v>
      </c>
    </row>
    <row r="206" spans="1:8" ht="16">
      <c r="A206" s="32" t="s">
        <v>241</v>
      </c>
      <c r="H206" s="27">
        <f>H205</f>
        <v>-64500.0</v>
      </c>
    </row>
    <row r="207" spans="1:1" ht="16">
      <c r="A207" s="31" t="s">
        <v>11</v>
      </c>
    </row>
    <row r="208" spans="2:9" ht="16" outlineLevel="1">
      <c r="B208" s="21" t="s">
        <v>4</v>
      </c>
      <c r="C208" s="21" t="s">
        <v>9</v>
      </c>
      <c r="D208" s="21" t="s">
        <v>6</v>
      </c>
      <c r="E208" s="21" t="s">
        <v>6</v>
      </c>
      <c r="F208" s="21" t="s">
        <v>10</v>
      </c>
      <c r="G208" s="21" t="s">
        <v>3</v>
      </c>
      <c r="H208" s="26">
        <v>-10000.0</v>
      </c>
      <c r="I208" s="26">
        <v>-10000.0</v>
      </c>
    </row>
    <row r="209" spans="1:8" ht="16">
      <c r="A209" s="32" t="s">
        <v>242</v>
      </c>
      <c r="H209" s="27">
        <f>H208</f>
        <v>-10000.0</v>
      </c>
    </row>
    <row r="210" spans="1:1" ht="16">
      <c r="A210" s="31" t="s">
        <v>47</v>
      </c>
    </row>
    <row r="211" spans="2:9" ht="16" outlineLevel="1">
      <c r="B211" s="21" t="s">
        <v>44</v>
      </c>
      <c r="C211" s="21" t="s">
        <v>45</v>
      </c>
      <c r="D211" s="21" t="s">
        <v>6</v>
      </c>
      <c r="E211" s="21" t="s">
        <v>6</v>
      </c>
      <c r="F211" s="21" t="s">
        <v>6</v>
      </c>
      <c r="G211" s="21" t="s">
        <v>43</v>
      </c>
      <c r="H211" s="26">
        <v>-501.91</v>
      </c>
      <c r="I211" s="26">
        <v>-501.91</v>
      </c>
    </row>
    <row r="212" spans="1:8" ht="16">
      <c r="A212" s="32" t="s">
        <v>243</v>
      </c>
      <c r="H212" s="27">
        <f>H211</f>
        <v>-501.91</v>
      </c>
    </row>
    <row r="213" spans="1:1" ht="16">
      <c r="A213" s="31" t="s">
        <v>135</v>
      </c>
    </row>
    <row r="214" spans="2:9" ht="16" outlineLevel="1">
      <c r="B214" s="21" t="s">
        <v>133</v>
      </c>
      <c r="C214" s="21" t="s">
        <v>9</v>
      </c>
      <c r="D214" s="21" t="s">
        <v>6</v>
      </c>
      <c r="E214" s="21" t="s">
        <v>6</v>
      </c>
      <c r="F214" s="21" t="s">
        <v>134</v>
      </c>
      <c r="G214" s="21" t="s">
        <v>43</v>
      </c>
      <c r="H214" s="26">
        <v>-0.52</v>
      </c>
      <c r="I214" s="26">
        <v>-0.52</v>
      </c>
    </row>
    <row r="215" spans="2:9" ht="16" outlineLevel="1">
      <c r="B215" s="21" t="s">
        <v>138</v>
      </c>
      <c r="C215" s="21" t="s">
        <v>9</v>
      </c>
      <c r="D215" s="21" t="s">
        <v>6</v>
      </c>
      <c r="E215" s="21" t="s">
        <v>6</v>
      </c>
      <c r="F215" s="21" t="s">
        <v>139</v>
      </c>
      <c r="G215" s="21" t="s">
        <v>43</v>
      </c>
      <c r="H215" s="26">
        <v>-0.08</v>
      </c>
      <c r="I215" s="26">
        <v>-0.6</v>
      </c>
    </row>
    <row r="216" spans="1:8" ht="16">
      <c r="A216" s="32" t="s">
        <v>244</v>
      </c>
      <c r="H216" s="27">
        <f>H214+H215</f>
        <v>-0.6</v>
      </c>
    </row>
    <row r="217" spans="1:1" ht="16">
      <c r="A217" s="31" t="s">
        <v>53</v>
      </c>
    </row>
    <row r="218" spans="2:9" ht="16" outlineLevel="1">
      <c r="B218" s="21" t="s">
        <v>31</v>
      </c>
      <c r="C218" s="21" t="s">
        <v>9</v>
      </c>
      <c r="D218" s="21" t="s">
        <v>6</v>
      </c>
      <c r="E218" s="21" t="s">
        <v>6</v>
      </c>
      <c r="F218" s="21" t="s">
        <v>52</v>
      </c>
      <c r="G218" s="21" t="s">
        <v>43</v>
      </c>
      <c r="H218" s="26">
        <v>2.16</v>
      </c>
      <c r="I218" s="26">
        <v>2.16</v>
      </c>
    </row>
    <row r="219" spans="2:9" ht="16" outlineLevel="1">
      <c r="B219" s="21" t="s">
        <v>55</v>
      </c>
      <c r="C219" s="21" t="s">
        <v>9</v>
      </c>
      <c r="D219" s="21" t="s">
        <v>6</v>
      </c>
      <c r="E219" s="21" t="s">
        <v>6</v>
      </c>
      <c r="F219" s="21" t="s">
        <v>56</v>
      </c>
      <c r="G219" s="21" t="s">
        <v>43</v>
      </c>
      <c r="H219" s="26">
        <v>0.49</v>
      </c>
      <c r="I219" s="26">
        <v>2.6500000000000004</v>
      </c>
    </row>
    <row r="220" spans="2:9" ht="16" outlineLevel="1">
      <c r="B220" s="21" t="s">
        <v>59</v>
      </c>
      <c r="C220" s="21" t="s">
        <v>9</v>
      </c>
      <c r="D220" s="21" t="s">
        <v>6</v>
      </c>
      <c r="E220" s="21" t="s">
        <v>6</v>
      </c>
      <c r="F220" s="21" t="s">
        <v>60</v>
      </c>
      <c r="G220" s="21" t="s">
        <v>43</v>
      </c>
      <c r="H220" s="26">
        <v>0.23</v>
      </c>
      <c r="I220" s="26">
        <v>2.8800000000000003</v>
      </c>
    </row>
    <row r="221" spans="2:9" ht="16" outlineLevel="1">
      <c r="B221" s="21" t="s">
        <v>68</v>
      </c>
      <c r="C221" s="21" t="s">
        <v>9</v>
      </c>
      <c r="D221" s="21" t="s">
        <v>6</v>
      </c>
      <c r="E221" s="21" t="s">
        <v>6</v>
      </c>
      <c r="F221" s="21" t="s">
        <v>70</v>
      </c>
      <c r="G221" s="21" t="s">
        <v>43</v>
      </c>
      <c r="H221" s="26">
        <v>0.13</v>
      </c>
      <c r="I221" s="26">
        <v>3.0100000000000002</v>
      </c>
    </row>
    <row r="222" spans="2:9" ht="16" outlineLevel="1">
      <c r="B222" s="21" t="s">
        <v>74</v>
      </c>
      <c r="C222" s="21" t="s">
        <v>9</v>
      </c>
      <c r="D222" s="21" t="s">
        <v>6</v>
      </c>
      <c r="E222" s="21" t="s">
        <v>6</v>
      </c>
      <c r="F222" s="21" t="s">
        <v>75</v>
      </c>
      <c r="G222" s="21" t="s">
        <v>43</v>
      </c>
      <c r="H222" s="26">
        <v>0.77</v>
      </c>
      <c r="I222" s="26">
        <v>3.7800000000000002</v>
      </c>
    </row>
    <row r="223" spans="2:9" ht="16" outlineLevel="1">
      <c r="B223" s="21" t="s">
        <v>74</v>
      </c>
      <c r="C223" s="21" t="s">
        <v>9</v>
      </c>
      <c r="D223" s="21" t="s">
        <v>6</v>
      </c>
      <c r="E223" s="21" t="s">
        <v>6</v>
      </c>
      <c r="F223" s="21" t="s">
        <v>76</v>
      </c>
      <c r="G223" s="21" t="s">
        <v>43</v>
      </c>
      <c r="H223" s="26">
        <v>221.15</v>
      </c>
      <c r="I223" s="26">
        <v>224.93</v>
      </c>
    </row>
    <row r="224" spans="2:9" ht="16" outlineLevel="1">
      <c r="B224" s="21" t="s">
        <v>85</v>
      </c>
      <c r="C224" s="21" t="s">
        <v>9</v>
      </c>
      <c r="D224" s="21" t="s">
        <v>6</v>
      </c>
      <c r="E224" s="21" t="s">
        <v>6</v>
      </c>
      <c r="F224" s="21" t="s">
        <v>86</v>
      </c>
      <c r="G224" s="21" t="s">
        <v>43</v>
      </c>
      <c r="H224" s="26">
        <v>0.05</v>
      </c>
      <c r="I224" s="26">
        <v>224.98000000000002</v>
      </c>
    </row>
    <row r="225" spans="2:9" ht="16" outlineLevel="1">
      <c r="B225" s="21" t="s">
        <v>97</v>
      </c>
      <c r="C225" s="21" t="s">
        <v>9</v>
      </c>
      <c r="D225" s="21" t="s">
        <v>6</v>
      </c>
      <c r="E225" s="21" t="s">
        <v>6</v>
      </c>
      <c r="F225" s="21" t="s">
        <v>98</v>
      </c>
      <c r="G225" s="21" t="s">
        <v>43</v>
      </c>
      <c r="H225" s="26">
        <v>0.24</v>
      </c>
      <c r="I225" s="26">
        <v>225.22000000000003</v>
      </c>
    </row>
    <row r="226" spans="2:9" ht="16" outlineLevel="1">
      <c r="B226" s="21" t="s">
        <v>105</v>
      </c>
      <c r="C226" s="21" t="s">
        <v>9</v>
      </c>
      <c r="D226" s="21" t="s">
        <v>6</v>
      </c>
      <c r="E226" s="21" t="s">
        <v>6</v>
      </c>
      <c r="F226" s="21" t="s">
        <v>106</v>
      </c>
      <c r="G226" s="21" t="s">
        <v>43</v>
      </c>
      <c r="H226" s="26">
        <v>0.05</v>
      </c>
      <c r="I226" s="26">
        <v>225.27000000000004</v>
      </c>
    </row>
    <row r="227" spans="2:9" ht="16" outlineLevel="1">
      <c r="B227" s="21" t="s">
        <v>108</v>
      </c>
      <c r="C227" s="21" t="s">
        <v>9</v>
      </c>
      <c r="D227" s="21" t="s">
        <v>6</v>
      </c>
      <c r="E227" s="21" t="s">
        <v>6</v>
      </c>
      <c r="F227" s="21" t="s">
        <v>109</v>
      </c>
      <c r="G227" s="21" t="s">
        <v>43</v>
      </c>
      <c r="H227" s="26">
        <v>0.77</v>
      </c>
      <c r="I227" s="26">
        <v>226.04000000000005</v>
      </c>
    </row>
    <row r="228" spans="2:9" ht="16" outlineLevel="1">
      <c r="B228" s="21" t="s">
        <v>110</v>
      </c>
      <c r="C228" s="21" t="s">
        <v>9</v>
      </c>
      <c r="D228" s="21" t="s">
        <v>6</v>
      </c>
      <c r="E228" s="21" t="s">
        <v>6</v>
      </c>
      <c r="F228" s="21" t="s">
        <v>111</v>
      </c>
      <c r="G228" s="21" t="s">
        <v>43</v>
      </c>
      <c r="H228" s="26">
        <v>2.16</v>
      </c>
      <c r="I228" s="26">
        <v>228.20000000000005</v>
      </c>
    </row>
    <row r="229" spans="2:9" ht="16" outlineLevel="1">
      <c r="B229" s="21" t="s">
        <v>120</v>
      </c>
      <c r="C229" s="21" t="s">
        <v>9</v>
      </c>
      <c r="D229" s="21" t="s">
        <v>6</v>
      </c>
      <c r="E229" s="21" t="s">
        <v>6</v>
      </c>
      <c r="F229" s="21" t="s">
        <v>121</v>
      </c>
      <c r="G229" s="21" t="s">
        <v>43</v>
      </c>
      <c r="H229" s="26">
        <v>0.09</v>
      </c>
      <c r="I229" s="26">
        <v>228.29000000000005</v>
      </c>
    </row>
    <row r="230" spans="2:9" ht="16" outlineLevel="1">
      <c r="B230" s="21" t="s">
        <v>127</v>
      </c>
      <c r="C230" s="21" t="s">
        <v>9</v>
      </c>
      <c r="D230" s="21" t="s">
        <v>6</v>
      </c>
      <c r="E230" s="21" t="s">
        <v>6</v>
      </c>
      <c r="F230" s="21" t="s">
        <v>128</v>
      </c>
      <c r="G230" s="21" t="s">
        <v>43</v>
      </c>
      <c r="H230" s="26">
        <v>0.18</v>
      </c>
      <c r="I230" s="26">
        <v>228.47000000000006</v>
      </c>
    </row>
    <row r="231" spans="2:9" ht="16" outlineLevel="1">
      <c r="B231" s="21" t="s">
        <v>166</v>
      </c>
      <c r="C231" s="21" t="s">
        <v>9</v>
      </c>
      <c r="D231" s="21" t="s">
        <v>6</v>
      </c>
      <c r="E231" s="21" t="s">
        <v>6</v>
      </c>
      <c r="F231" s="21" t="s">
        <v>168</v>
      </c>
      <c r="G231" s="21" t="s">
        <v>43</v>
      </c>
      <c r="H231" s="26">
        <v>0.37</v>
      </c>
      <c r="I231" s="26">
        <v>228.84000000000006</v>
      </c>
    </row>
    <row r="232" spans="2:9" ht="16" outlineLevel="1">
      <c r="B232" s="21" t="s">
        <v>176</v>
      </c>
      <c r="C232" s="21" t="s">
        <v>9</v>
      </c>
      <c r="D232" s="21" t="s">
        <v>6</v>
      </c>
      <c r="E232" s="21" t="s">
        <v>43</v>
      </c>
      <c r="F232" s="21" t="s">
        <v>177</v>
      </c>
      <c r="G232" s="21" t="s">
        <v>43</v>
      </c>
      <c r="H232" s="26">
        <v>0.63</v>
      </c>
      <c r="I232" s="26">
        <v>229.47000000000006</v>
      </c>
    </row>
    <row r="233" spans="2:9" ht="16" outlineLevel="1">
      <c r="B233" s="21" t="s">
        <v>185</v>
      </c>
      <c r="C233" s="21" t="s">
        <v>9</v>
      </c>
      <c r="D233" s="21" t="s">
        <v>6</v>
      </c>
      <c r="E233" s="21" t="s">
        <v>6</v>
      </c>
      <c r="F233" s="21" t="s">
        <v>187</v>
      </c>
      <c r="G233" s="21" t="s">
        <v>43</v>
      </c>
      <c r="H233" s="26">
        <v>0.03</v>
      </c>
      <c r="I233" s="26">
        <v>229.50000000000006</v>
      </c>
    </row>
    <row r="234" spans="2:9" ht="16" outlineLevel="1">
      <c r="B234" s="21" t="s">
        <v>189</v>
      </c>
      <c r="C234" s="21" t="s">
        <v>9</v>
      </c>
      <c r="D234" s="21" t="s">
        <v>6</v>
      </c>
      <c r="E234" s="21" t="s">
        <v>6</v>
      </c>
      <c r="F234" s="21" t="s">
        <v>190</v>
      </c>
      <c r="G234" s="21" t="s">
        <v>43</v>
      </c>
      <c r="H234" s="26">
        <v>0.37</v>
      </c>
      <c r="I234" s="26">
        <v>229.87000000000006</v>
      </c>
    </row>
    <row r="235" spans="2:9" ht="16" outlineLevel="1">
      <c r="B235" s="21" t="s">
        <v>202</v>
      </c>
      <c r="C235" s="21" t="s">
        <v>9</v>
      </c>
      <c r="D235" s="21" t="s">
        <v>6</v>
      </c>
      <c r="E235" s="21" t="s">
        <v>43</v>
      </c>
      <c r="F235" s="21" t="s">
        <v>203</v>
      </c>
      <c r="G235" s="21" t="s">
        <v>43</v>
      </c>
      <c r="H235" s="26">
        <v>2.16</v>
      </c>
      <c r="I235" s="26">
        <v>232.03000000000006</v>
      </c>
    </row>
    <row r="236" spans="2:9" ht="16" outlineLevel="1">
      <c r="B236" s="21" t="s">
        <v>202</v>
      </c>
      <c r="C236" s="21" t="s">
        <v>9</v>
      </c>
      <c r="D236" s="21" t="s">
        <v>6</v>
      </c>
      <c r="E236" s="21" t="s">
        <v>43</v>
      </c>
      <c r="F236" s="21" t="s">
        <v>204</v>
      </c>
      <c r="G236" s="21" t="s">
        <v>43</v>
      </c>
      <c r="H236" s="26">
        <v>2.16</v>
      </c>
      <c r="I236" s="26">
        <v>234.19000000000005</v>
      </c>
    </row>
    <row r="237" spans="2:9" ht="16" outlineLevel="1">
      <c r="B237" s="21" t="s">
        <v>202</v>
      </c>
      <c r="C237" s="21" t="s">
        <v>9</v>
      </c>
      <c r="D237" s="21" t="s">
        <v>6</v>
      </c>
      <c r="E237" s="21" t="s">
        <v>43</v>
      </c>
      <c r="F237" s="21" t="s">
        <v>205</v>
      </c>
      <c r="G237" s="21" t="s">
        <v>43</v>
      </c>
      <c r="H237" s="26">
        <v>2.16</v>
      </c>
      <c r="I237" s="26">
        <v>236.35000000000005</v>
      </c>
    </row>
    <row r="238" spans="2:9" ht="16" outlineLevel="1">
      <c r="B238" s="21" t="s">
        <v>202</v>
      </c>
      <c r="C238" s="21" t="s">
        <v>9</v>
      </c>
      <c r="D238" s="21" t="s">
        <v>6</v>
      </c>
      <c r="E238" s="21" t="s">
        <v>43</v>
      </c>
      <c r="F238" s="21" t="s">
        <v>206</v>
      </c>
      <c r="G238" s="21" t="s">
        <v>43</v>
      </c>
      <c r="H238" s="26">
        <v>2.16</v>
      </c>
      <c r="I238" s="26">
        <v>238.51000000000005</v>
      </c>
    </row>
    <row r="239" spans="2:9" ht="16" outlineLevel="1">
      <c r="B239" s="21" t="s">
        <v>208</v>
      </c>
      <c r="C239" s="21" t="s">
        <v>9</v>
      </c>
      <c r="D239" s="21" t="s">
        <v>6</v>
      </c>
      <c r="E239" s="21" t="s">
        <v>43</v>
      </c>
      <c r="F239" s="21" t="s">
        <v>209</v>
      </c>
      <c r="G239" s="21" t="s">
        <v>43</v>
      </c>
      <c r="H239" s="26">
        <v>0.36</v>
      </c>
      <c r="I239" s="26">
        <v>238.87000000000006</v>
      </c>
    </row>
    <row r="240" spans="2:9" ht="16" outlineLevel="1">
      <c r="B240" s="21" t="s">
        <v>213</v>
      </c>
      <c r="C240" s="21" t="s">
        <v>9</v>
      </c>
      <c r="D240" s="21" t="s">
        <v>6</v>
      </c>
      <c r="E240" s="21" t="s">
        <v>43</v>
      </c>
      <c r="F240" s="21" t="s">
        <v>214</v>
      </c>
      <c r="G240" s="21" t="s">
        <v>43</v>
      </c>
      <c r="H240" s="26">
        <v>2.16</v>
      </c>
      <c r="I240" s="26">
        <v>241.03000000000006</v>
      </c>
    </row>
    <row r="241" spans="2:9" ht="16" outlineLevel="1">
      <c r="B241" s="21" t="s">
        <v>220</v>
      </c>
      <c r="C241" s="21" t="s">
        <v>9</v>
      </c>
      <c r="D241" s="21" t="s">
        <v>6</v>
      </c>
      <c r="E241" s="21" t="s">
        <v>6</v>
      </c>
      <c r="F241" s="21" t="s">
        <v>221</v>
      </c>
      <c r="G241" s="21" t="s">
        <v>43</v>
      </c>
      <c r="H241" s="26">
        <v>0.02</v>
      </c>
      <c r="I241" s="26">
        <v>241.05000000000007</v>
      </c>
    </row>
    <row r="242" spans="2:9" ht="16" outlineLevel="1">
      <c r="B242" s="21" t="s">
        <v>233</v>
      </c>
      <c r="C242" s="21" t="s">
        <v>9</v>
      </c>
      <c r="D242" s="21" t="s">
        <v>6</v>
      </c>
      <c r="E242" s="21" t="s">
        <v>43</v>
      </c>
      <c r="F242" s="21" t="s">
        <v>234</v>
      </c>
      <c r="G242" s="21" t="s">
        <v>43</v>
      </c>
      <c r="H242" s="26">
        <v>0.17</v>
      </c>
      <c r="I242" s="26">
        <v>241.22000000000006</v>
      </c>
    </row>
    <row r="243" spans="1:8" ht="16">
      <c r="A243" s="32" t="s">
        <v>245</v>
      </c>
      <c r="H243" s="27">
        <f>H218+H219+H220+H221+H222+H223+H224+H225+H226+H227+H228+H229+H230+H231+H232+H233+H234+H235+H236+H237+H238+H239+H240+H241+H242</f>
        <v>241.22000000000006</v>
      </c>
    </row>
    <row r="244" spans="1:1" ht="16">
      <c r="A244" s="31" t="s">
        <v>64</v>
      </c>
    </row>
    <row r="245" spans="2:9" ht="16" outlineLevel="1">
      <c r="B245" s="21" t="s">
        <v>36</v>
      </c>
      <c r="C245" s="21" t="s">
        <v>9</v>
      </c>
      <c r="D245" s="21" t="s">
        <v>6</v>
      </c>
      <c r="E245" s="21" t="s">
        <v>62</v>
      </c>
      <c r="F245" s="21" t="s">
        <v>63</v>
      </c>
      <c r="G245" s="21" t="s">
        <v>43</v>
      </c>
      <c r="H245" s="26">
        <v>18.99</v>
      </c>
      <c r="I245" s="26">
        <v>18.99</v>
      </c>
    </row>
    <row r="246" spans="2:9" ht="16" outlineLevel="1">
      <c r="B246" s="21" t="s">
        <v>113</v>
      </c>
      <c r="C246" s="21" t="s">
        <v>9</v>
      </c>
      <c r="D246" s="21" t="s">
        <v>6</v>
      </c>
      <c r="E246" s="21" t="s">
        <v>115</v>
      </c>
      <c r="F246" s="21" t="s">
        <v>116</v>
      </c>
      <c r="G246" s="21" t="s">
        <v>43</v>
      </c>
      <c r="H246" s="26">
        <v>23.79</v>
      </c>
      <c r="I246" s="26">
        <v>42.78</v>
      </c>
    </row>
    <row r="247" spans="1:8" ht="16">
      <c r="A247" s="32" t="s">
        <v>246</v>
      </c>
      <c r="H247" s="27">
        <f>H245+H246</f>
        <v>42.78</v>
      </c>
    </row>
    <row r="248" spans="1:1" ht="16">
      <c r="A248" s="31" t="s">
        <v>67</v>
      </c>
    </row>
    <row r="249" spans="2:9" ht="16" outlineLevel="1">
      <c r="B249" s="21" t="s">
        <v>65</v>
      </c>
      <c r="C249" s="21" t="s">
        <v>9</v>
      </c>
      <c r="D249" s="21" t="s">
        <v>6</v>
      </c>
      <c r="E249" s="21" t="s">
        <v>6</v>
      </c>
      <c r="F249" s="21" t="s">
        <v>66</v>
      </c>
      <c r="G249" s="21" t="s">
        <v>43</v>
      </c>
      <c r="H249" s="26">
        <v>35.62</v>
      </c>
      <c r="I249" s="26">
        <v>35.62</v>
      </c>
    </row>
    <row r="250" spans="2:9" ht="16" outlineLevel="1">
      <c r="B250" s="21" t="s">
        <v>103</v>
      </c>
      <c r="C250" s="21" t="s">
        <v>9</v>
      </c>
      <c r="D250" s="21" t="s">
        <v>6</v>
      </c>
      <c r="E250" s="21" t="s">
        <v>6</v>
      </c>
      <c r="F250" s="21" t="s">
        <v>104</v>
      </c>
      <c r="G250" s="21" t="s">
        <v>43</v>
      </c>
      <c r="H250" s="26">
        <v>157.13</v>
      </c>
      <c r="I250" s="26">
        <v>192.75</v>
      </c>
    </row>
    <row r="251" spans="2:9" ht="16" outlineLevel="1">
      <c r="B251" s="21" t="s">
        <v>180</v>
      </c>
      <c r="C251" s="21" t="s">
        <v>9</v>
      </c>
      <c r="D251" s="21" t="s">
        <v>6</v>
      </c>
      <c r="E251" s="21" t="s">
        <v>6</v>
      </c>
      <c r="F251" s="21" t="s">
        <v>66</v>
      </c>
      <c r="G251" s="21" t="s">
        <v>43</v>
      </c>
      <c r="H251" s="26">
        <v>157.13</v>
      </c>
      <c r="I251" s="26">
        <v>349.88</v>
      </c>
    </row>
    <row r="252" spans="2:9" ht="16" outlineLevel="1">
      <c r="B252" s="21" t="s">
        <v>180</v>
      </c>
      <c r="C252" s="21" t="s">
        <v>9</v>
      </c>
      <c r="D252" s="21" t="s">
        <v>6</v>
      </c>
      <c r="E252" s="21" t="s">
        <v>6</v>
      </c>
      <c r="F252" s="21" t="s">
        <v>66</v>
      </c>
      <c r="G252" s="21" t="s">
        <v>43</v>
      </c>
      <c r="H252" s="26">
        <v>157.12</v>
      </c>
      <c r="I252" s="26">
        <v>507.0</v>
      </c>
    </row>
    <row r="253" spans="2:9" ht="16" outlineLevel="1">
      <c r="B253" s="21" t="s">
        <v>198</v>
      </c>
      <c r="C253" s="21" t="s">
        <v>9</v>
      </c>
      <c r="D253" s="21" t="s">
        <v>6</v>
      </c>
      <c r="E253" s="21" t="s">
        <v>6</v>
      </c>
      <c r="F253" s="21" t="s">
        <v>104</v>
      </c>
      <c r="G253" s="21" t="s">
        <v>43</v>
      </c>
      <c r="H253" s="26">
        <v>157.12</v>
      </c>
      <c r="I253" s="26">
        <v>664.12</v>
      </c>
    </row>
    <row r="254" spans="2:9" ht="16" outlineLevel="1">
      <c r="B254" s="21" t="s">
        <v>225</v>
      </c>
      <c r="C254" s="21" t="s">
        <v>9</v>
      </c>
      <c r="D254" s="21" t="s">
        <v>6</v>
      </c>
      <c r="E254" s="21" t="s">
        <v>6</v>
      </c>
      <c r="F254" s="21" t="s">
        <v>104</v>
      </c>
      <c r="G254" s="21" t="s">
        <v>43</v>
      </c>
      <c r="H254" s="26">
        <v>157.13</v>
      </c>
      <c r="I254" s="26">
        <v>821.25</v>
      </c>
    </row>
    <row r="255" spans="1:8" ht="16">
      <c r="A255" s="32" t="s">
        <v>247</v>
      </c>
      <c r="H255" s="27">
        <f>H249+H250+H251+H252+H253+H254</f>
        <v>821.25</v>
      </c>
    </row>
    <row r="256" spans="1:1" ht="16">
      <c r="A256" s="31" t="s">
        <v>35</v>
      </c>
    </row>
    <row r="257" spans="2:9" ht="16" outlineLevel="1">
      <c r="B257" s="21" t="s">
        <v>31</v>
      </c>
      <c r="C257" s="21" t="s">
        <v>9</v>
      </c>
      <c r="D257" s="21" t="s">
        <v>6</v>
      </c>
      <c r="E257" s="21" t="s">
        <v>6</v>
      </c>
      <c r="F257" s="21" t="s">
        <v>34</v>
      </c>
      <c r="G257" s="21" t="s">
        <v>3</v>
      </c>
      <c r="H257" s="26">
        <v>1047.5</v>
      </c>
      <c r="I257" s="26">
        <v>1047.5</v>
      </c>
    </row>
    <row r="258" spans="2:9" ht="16" outlineLevel="1">
      <c r="B258" s="21" t="s">
        <v>38</v>
      </c>
      <c r="C258" s="21" t="s">
        <v>9</v>
      </c>
      <c r="D258" s="21" t="s">
        <v>6</v>
      </c>
      <c r="E258" s="21" t="s">
        <v>6</v>
      </c>
      <c r="F258" s="21" t="s">
        <v>39</v>
      </c>
      <c r="G258" s="21" t="s">
        <v>3</v>
      </c>
      <c r="H258" s="26">
        <v>777.29</v>
      </c>
      <c r="I258" s="26">
        <v>1824.79</v>
      </c>
    </row>
    <row r="259" spans="2:9" ht="16" outlineLevel="1">
      <c r="B259" s="21" t="s">
        <v>72</v>
      </c>
      <c r="C259" s="21" t="s">
        <v>9</v>
      </c>
      <c r="D259" s="21" t="s">
        <v>6</v>
      </c>
      <c r="E259" s="21" t="s">
        <v>6</v>
      </c>
      <c r="F259" s="21" t="s">
        <v>73</v>
      </c>
      <c r="G259" s="21" t="s">
        <v>43</v>
      </c>
      <c r="H259" s="26">
        <v>1047.5</v>
      </c>
      <c r="I259" s="26">
        <v>2872.29</v>
      </c>
    </row>
    <row r="260" spans="2:9" ht="16" outlineLevel="1">
      <c r="B260" s="21" t="s">
        <v>102</v>
      </c>
      <c r="C260" s="21" t="s">
        <v>9</v>
      </c>
      <c r="D260" s="21" t="s">
        <v>6</v>
      </c>
      <c r="E260" s="21" t="s">
        <v>6</v>
      </c>
      <c r="F260" s="21" t="s">
        <v>73</v>
      </c>
      <c r="G260" s="21" t="s">
        <v>43</v>
      </c>
      <c r="H260" s="26">
        <v>300.0</v>
      </c>
      <c r="I260" s="26">
        <v>3172.29</v>
      </c>
    </row>
    <row r="261" spans="2:9" ht="16" outlineLevel="1">
      <c r="B261" s="21" t="s">
        <v>102</v>
      </c>
      <c r="C261" s="21" t="s">
        <v>9</v>
      </c>
      <c r="D261" s="21" t="s">
        <v>6</v>
      </c>
      <c r="E261" s="21" t="s">
        <v>6</v>
      </c>
      <c r="F261" s="21" t="s">
        <v>73</v>
      </c>
      <c r="G261" s="21" t="s">
        <v>43</v>
      </c>
      <c r="H261" s="26">
        <v>747.5</v>
      </c>
      <c r="I261" s="26">
        <v>3919.79</v>
      </c>
    </row>
    <row r="262" spans="2:9" ht="16" outlineLevel="1">
      <c r="B262" s="21" t="s">
        <v>137</v>
      </c>
      <c r="C262" s="21" t="s">
        <v>9</v>
      </c>
      <c r="D262" s="21" t="s">
        <v>6</v>
      </c>
      <c r="E262" s="21" t="s">
        <v>6</v>
      </c>
      <c r="F262" s="21" t="s">
        <v>73</v>
      </c>
      <c r="G262" s="21" t="s">
        <v>43</v>
      </c>
      <c r="H262" s="26">
        <v>747.5</v>
      </c>
      <c r="I262" s="26">
        <v>4667.29</v>
      </c>
    </row>
    <row r="263" spans="2:9" ht="16" outlineLevel="1">
      <c r="B263" s="21" t="s">
        <v>137</v>
      </c>
      <c r="C263" s="21" t="s">
        <v>9</v>
      </c>
      <c r="D263" s="21" t="s">
        <v>6</v>
      </c>
      <c r="E263" s="21" t="s">
        <v>6</v>
      </c>
      <c r="F263" s="21" t="s">
        <v>73</v>
      </c>
      <c r="G263" s="21" t="s">
        <v>43</v>
      </c>
      <c r="H263" s="26">
        <v>300.0</v>
      </c>
      <c r="I263" s="26">
        <v>4967.29</v>
      </c>
    </row>
    <row r="264" spans="2:9" ht="16" outlineLevel="1">
      <c r="B264" s="21" t="s">
        <v>176</v>
      </c>
      <c r="C264" s="21" t="s">
        <v>9</v>
      </c>
      <c r="D264" s="21" t="s">
        <v>6</v>
      </c>
      <c r="E264" s="21" t="s">
        <v>6</v>
      </c>
      <c r="F264" s="21" t="s">
        <v>73</v>
      </c>
      <c r="G264" s="21" t="s">
        <v>43</v>
      </c>
      <c r="H264" s="26">
        <v>300.0</v>
      </c>
      <c r="I264" s="26">
        <v>5267.29</v>
      </c>
    </row>
    <row r="265" spans="2:9" ht="16" outlineLevel="1">
      <c r="B265" s="21" t="s">
        <v>180</v>
      </c>
      <c r="C265" s="21" t="s">
        <v>9</v>
      </c>
      <c r="D265" s="21" t="s">
        <v>6</v>
      </c>
      <c r="E265" s="21" t="s">
        <v>6</v>
      </c>
      <c r="F265" s="21" t="s">
        <v>73</v>
      </c>
      <c r="G265" s="21" t="s">
        <v>43</v>
      </c>
      <c r="H265" s="26">
        <v>747.5</v>
      </c>
      <c r="I265" s="26">
        <v>6014.79</v>
      </c>
    </row>
    <row r="266" spans="2:9" ht="16" outlineLevel="1">
      <c r="B266" s="21" t="s">
        <v>197</v>
      </c>
      <c r="C266" s="21" t="s">
        <v>9</v>
      </c>
      <c r="D266" s="21" t="s">
        <v>6</v>
      </c>
      <c r="E266" s="21" t="s">
        <v>6</v>
      </c>
      <c r="F266" s="21" t="s">
        <v>73</v>
      </c>
      <c r="G266" s="21" t="s">
        <v>43</v>
      </c>
      <c r="H266" s="26">
        <v>300.0</v>
      </c>
      <c r="I266" s="26">
        <v>6314.79</v>
      </c>
    </row>
    <row r="267" spans="2:9" ht="16" outlineLevel="1">
      <c r="B267" s="21" t="s">
        <v>198</v>
      </c>
      <c r="C267" s="21" t="s">
        <v>9</v>
      </c>
      <c r="D267" s="21" t="s">
        <v>6</v>
      </c>
      <c r="E267" s="21" t="s">
        <v>6</v>
      </c>
      <c r="F267" s="21" t="s">
        <v>73</v>
      </c>
      <c r="G267" s="21" t="s">
        <v>43</v>
      </c>
      <c r="H267" s="26">
        <v>747.5</v>
      </c>
      <c r="I267" s="26">
        <v>7062.29</v>
      </c>
    </row>
    <row r="268" spans="2:9" ht="16" outlineLevel="1">
      <c r="B268" s="21" t="s">
        <v>220</v>
      </c>
      <c r="C268" s="21" t="s">
        <v>9</v>
      </c>
      <c r="D268" s="21" t="s">
        <v>6</v>
      </c>
      <c r="E268" s="21" t="s">
        <v>6</v>
      </c>
      <c r="F268" s="21" t="s">
        <v>73</v>
      </c>
      <c r="G268" s="21" t="s">
        <v>43</v>
      </c>
      <c r="H268" s="26">
        <v>300.0</v>
      </c>
      <c r="I268" s="26">
        <v>7362.29</v>
      </c>
    </row>
    <row r="269" spans="2:9" ht="16" outlineLevel="1">
      <c r="B269" s="21" t="s">
        <v>224</v>
      </c>
      <c r="C269" s="21" t="s">
        <v>9</v>
      </c>
      <c r="D269" s="21" t="s">
        <v>6</v>
      </c>
      <c r="E269" s="21" t="s">
        <v>6</v>
      </c>
      <c r="F269" s="21" t="s">
        <v>73</v>
      </c>
      <c r="G269" s="21" t="s">
        <v>43</v>
      </c>
      <c r="H269" s="26">
        <v>747.5</v>
      </c>
      <c r="I269" s="26">
        <v>8109.79</v>
      </c>
    </row>
    <row r="270" spans="1:8" ht="16">
      <c r="A270" s="32" t="s">
        <v>248</v>
      </c>
      <c r="H270" s="27">
        <f>H257+H258+H259+H260+H261+H262+H263+H264+H265+H266+H267+H268+H269</f>
        <v>8109.79</v>
      </c>
    </row>
    <row r="271" spans="1:1" ht="16">
      <c r="A271" s="31" t="s">
        <v>17</v>
      </c>
    </row>
    <row r="272" spans="2:9" ht="16" outlineLevel="1">
      <c r="B272" s="21" t="s">
        <v>15</v>
      </c>
      <c r="C272" s="21" t="s">
        <v>9</v>
      </c>
      <c r="D272" s="21" t="s">
        <v>6</v>
      </c>
      <c r="E272" s="21" t="s">
        <v>6</v>
      </c>
      <c r="F272" s="21" t="s">
        <v>16</v>
      </c>
      <c r="G272" s="21" t="s">
        <v>3</v>
      </c>
      <c r="H272" s="26">
        <v>226.8</v>
      </c>
      <c r="I272" s="26">
        <v>226.8</v>
      </c>
    </row>
    <row r="273" spans="2:9" ht="16" outlineLevel="1">
      <c r="B273" s="21" t="s">
        <v>18</v>
      </c>
      <c r="C273" s="21" t="s">
        <v>9</v>
      </c>
      <c r="D273" s="21" t="s">
        <v>6</v>
      </c>
      <c r="E273" s="21" t="s">
        <v>6</v>
      </c>
      <c r="F273" s="21" t="s">
        <v>19</v>
      </c>
      <c r="G273" s="21" t="s">
        <v>3</v>
      </c>
      <c r="H273" s="26">
        <v>280.8</v>
      </c>
      <c r="I273" s="26">
        <v>507.6</v>
      </c>
    </row>
    <row r="274" spans="2:9" ht="16" outlineLevel="1">
      <c r="B274" s="21" t="s">
        <v>26</v>
      </c>
      <c r="C274" s="21" t="s">
        <v>9</v>
      </c>
      <c r="D274" s="21" t="s">
        <v>6</v>
      </c>
      <c r="E274" s="21" t="s">
        <v>6</v>
      </c>
      <c r="F274" s="21" t="s">
        <v>19</v>
      </c>
      <c r="G274" s="21" t="s">
        <v>3</v>
      </c>
      <c r="H274" s="26">
        <v>280.8</v>
      </c>
      <c r="I274" s="26">
        <v>788.4000000000001</v>
      </c>
    </row>
    <row r="275" spans="2:9" ht="16" outlineLevel="1">
      <c r="B275" s="21" t="s">
        <v>27</v>
      </c>
      <c r="C275" s="21" t="s">
        <v>9</v>
      </c>
      <c r="D275" s="21" t="s">
        <v>6</v>
      </c>
      <c r="E275" s="21" t="s">
        <v>6</v>
      </c>
      <c r="F275" s="21" t="s">
        <v>19</v>
      </c>
      <c r="G275" s="21" t="s">
        <v>3</v>
      </c>
      <c r="H275" s="26">
        <v>280.8</v>
      </c>
      <c r="I275" s="26">
        <v>1069.2</v>
      </c>
    </row>
    <row r="276" spans="2:9" ht="16" outlineLevel="1">
      <c r="B276" s="21" t="s">
        <v>29</v>
      </c>
      <c r="C276" s="21" t="s">
        <v>9</v>
      </c>
      <c r="D276" s="21" t="s">
        <v>6</v>
      </c>
      <c r="E276" s="21" t="s">
        <v>6</v>
      </c>
      <c r="F276" s="21" t="s">
        <v>19</v>
      </c>
      <c r="G276" s="21" t="s">
        <v>3</v>
      </c>
      <c r="H276" s="26">
        <v>280.8</v>
      </c>
      <c r="I276" s="26">
        <v>1350.0</v>
      </c>
    </row>
    <row r="277" spans="2:9" ht="16" outlineLevel="1">
      <c r="B277" s="21" t="s">
        <v>68</v>
      </c>
      <c r="C277" s="21" t="s">
        <v>9</v>
      </c>
      <c r="D277" s="21" t="s">
        <v>6</v>
      </c>
      <c r="E277" s="21" t="s">
        <v>6</v>
      </c>
      <c r="F277" s="21" t="s">
        <v>69</v>
      </c>
      <c r="G277" s="21" t="s">
        <v>43</v>
      </c>
      <c r="H277" s="26">
        <v>280.8</v>
      </c>
      <c r="I277" s="26">
        <v>1630.8</v>
      </c>
    </row>
    <row r="278" spans="2:9" ht="16" outlineLevel="1">
      <c r="B278" s="21" t="s">
        <v>218</v>
      </c>
      <c r="C278" s="21" t="s">
        <v>9</v>
      </c>
      <c r="D278" s="21" t="s">
        <v>6</v>
      </c>
      <c r="E278" s="21" t="s">
        <v>170</v>
      </c>
      <c r="F278" s="21" t="s">
        <v>219</v>
      </c>
      <c r="G278" s="21" t="s">
        <v>43</v>
      </c>
      <c r="H278" s="26">
        <v>34.0</v>
      </c>
      <c r="I278" s="26">
        <v>1664.8</v>
      </c>
    </row>
    <row r="279" spans="1:8" ht="16">
      <c r="A279" s="32" t="s">
        <v>249</v>
      </c>
      <c r="H279" s="27">
        <f>H272+H273+H274+H275+H276+H277+H278</f>
        <v>1664.8</v>
      </c>
    </row>
    <row r="280" spans="1:1" ht="16">
      <c r="A280" s="31" t="s">
        <v>14</v>
      </c>
    </row>
    <row r="281" spans="2:9" ht="16" outlineLevel="1">
      <c r="B281" s="21" t="s">
        <v>12</v>
      </c>
      <c r="C281" s="21" t="s">
        <v>9</v>
      </c>
      <c r="D281" s="21" t="s">
        <v>6</v>
      </c>
      <c r="E281" s="21" t="s">
        <v>6</v>
      </c>
      <c r="F281" s="21" t="s">
        <v>13</v>
      </c>
      <c r="G281" s="21" t="s">
        <v>3</v>
      </c>
      <c r="H281" s="26">
        <v>168.57</v>
      </c>
      <c r="I281" s="26">
        <v>168.57</v>
      </c>
    </row>
    <row r="282" spans="1:8" ht="16">
      <c r="A282" s="32" t="s">
        <v>250</v>
      </c>
      <c r="H282" s="27">
        <f>H281</f>
        <v>168.57</v>
      </c>
    </row>
    <row r="283" spans="1:1" ht="16">
      <c r="A283" s="31" t="s">
        <v>58</v>
      </c>
    </row>
    <row r="284" spans="2:9" ht="16" outlineLevel="1">
      <c r="B284" s="21" t="s">
        <v>55</v>
      </c>
      <c r="C284" s="21" t="s">
        <v>9</v>
      </c>
      <c r="D284" s="21" t="s">
        <v>6</v>
      </c>
      <c r="E284" s="21" t="s">
        <v>6</v>
      </c>
      <c r="F284" s="21" t="s">
        <v>57</v>
      </c>
      <c r="G284" s="21" t="s">
        <v>43</v>
      </c>
      <c r="H284" s="26">
        <v>140.83</v>
      </c>
      <c r="I284" s="26">
        <v>140.83</v>
      </c>
    </row>
    <row r="285" spans="2:9" ht="16" outlineLevel="1">
      <c r="B285" s="21" t="s">
        <v>59</v>
      </c>
      <c r="C285" s="21" t="s">
        <v>9</v>
      </c>
      <c r="D285" s="21" t="s">
        <v>6</v>
      </c>
      <c r="E285" s="21" t="s">
        <v>6</v>
      </c>
      <c r="F285" s="21" t="s">
        <v>61</v>
      </c>
      <c r="G285" s="21" t="s">
        <v>43</v>
      </c>
      <c r="H285" s="26">
        <v>67.19</v>
      </c>
      <c r="I285" s="26">
        <v>208.02</v>
      </c>
    </row>
    <row r="286" spans="2:9" ht="16" outlineLevel="1">
      <c r="B286" s="21" t="s">
        <v>68</v>
      </c>
      <c r="C286" s="21" t="s">
        <v>9</v>
      </c>
      <c r="D286" s="21" t="s">
        <v>6</v>
      </c>
      <c r="E286" s="21" t="s">
        <v>6</v>
      </c>
      <c r="F286" s="21" t="s">
        <v>71</v>
      </c>
      <c r="G286" s="21" t="s">
        <v>43</v>
      </c>
      <c r="H286" s="26">
        <v>37.37</v>
      </c>
      <c r="I286" s="26">
        <v>245.39000000000001</v>
      </c>
    </row>
    <row r="287" spans="2:9" ht="16" outlineLevel="1">
      <c r="B287" s="21" t="s">
        <v>85</v>
      </c>
      <c r="C287" s="21" t="s">
        <v>9</v>
      </c>
      <c r="D287" s="21" t="s">
        <v>6</v>
      </c>
      <c r="E287" s="21" t="s">
        <v>6</v>
      </c>
      <c r="F287" s="21" t="s">
        <v>87</v>
      </c>
      <c r="G287" s="21" t="s">
        <v>43</v>
      </c>
      <c r="H287" s="26">
        <v>14.79</v>
      </c>
      <c r="I287" s="26">
        <v>260.18</v>
      </c>
    </row>
    <row r="288" spans="2:9" ht="16" outlineLevel="1">
      <c r="B288" s="21" t="s">
        <v>88</v>
      </c>
      <c r="C288" s="21" t="s">
        <v>9</v>
      </c>
      <c r="D288" s="21" t="s">
        <v>6</v>
      </c>
      <c r="E288" s="21" t="s">
        <v>6</v>
      </c>
      <c r="F288" s="21" t="s">
        <v>89</v>
      </c>
      <c r="G288" s="21" t="s">
        <v>43</v>
      </c>
      <c r="H288" s="26">
        <v>200.0</v>
      </c>
      <c r="I288" s="26">
        <v>460.18</v>
      </c>
    </row>
    <row r="289" spans="2:9" ht="16" outlineLevel="1">
      <c r="B289" s="21" t="s">
        <v>88</v>
      </c>
      <c r="C289" s="21" t="s">
        <v>9</v>
      </c>
      <c r="D289" s="21" t="s">
        <v>6</v>
      </c>
      <c r="E289" s="21" t="s">
        <v>62</v>
      </c>
      <c r="F289" s="21" t="s">
        <v>63</v>
      </c>
      <c r="G289" s="21" t="s">
        <v>43</v>
      </c>
      <c r="H289" s="26">
        <v>119.99</v>
      </c>
      <c r="I289" s="26">
        <v>580.17</v>
      </c>
    </row>
    <row r="290" spans="2:9" ht="16" outlineLevel="1">
      <c r="B290" s="21" t="s">
        <v>94</v>
      </c>
      <c r="C290" s="21" t="s">
        <v>9</v>
      </c>
      <c r="D290" s="21" t="s">
        <v>6</v>
      </c>
      <c r="E290" s="21" t="s">
        <v>6</v>
      </c>
      <c r="F290" s="21" t="s">
        <v>96</v>
      </c>
      <c r="G290" s="21" t="s">
        <v>43</v>
      </c>
      <c r="H290" s="26">
        <v>312.0</v>
      </c>
      <c r="I290" s="26">
        <v>892.17</v>
      </c>
    </row>
    <row r="291" spans="2:9" ht="16" outlineLevel="1">
      <c r="B291" s="21" t="s">
        <v>97</v>
      </c>
      <c r="C291" s="21" t="s">
        <v>9</v>
      </c>
      <c r="D291" s="21" t="s">
        <v>6</v>
      </c>
      <c r="E291" s="21" t="s">
        <v>6</v>
      </c>
      <c r="F291" s="21" t="s">
        <v>99</v>
      </c>
      <c r="G291" s="21" t="s">
        <v>43</v>
      </c>
      <c r="H291" s="26">
        <v>69.36</v>
      </c>
      <c r="I291" s="26">
        <v>961.53</v>
      </c>
    </row>
    <row r="292" spans="2:9" ht="16" outlineLevel="1">
      <c r="B292" s="21" t="s">
        <v>105</v>
      </c>
      <c r="C292" s="21" t="s">
        <v>9</v>
      </c>
      <c r="D292" s="21" t="s">
        <v>6</v>
      </c>
      <c r="E292" s="21" t="s">
        <v>6</v>
      </c>
      <c r="F292" s="21" t="s">
        <v>107</v>
      </c>
      <c r="G292" s="21" t="s">
        <v>43</v>
      </c>
      <c r="H292" s="26">
        <v>14.66</v>
      </c>
      <c r="I292" s="26">
        <v>976.1899999999999</v>
      </c>
    </row>
    <row r="293" spans="2:9" ht="16" outlineLevel="1">
      <c r="B293" s="21" t="s">
        <v>108</v>
      </c>
      <c r="C293" s="21" t="s">
        <v>9</v>
      </c>
      <c r="D293" s="21" t="s">
        <v>6</v>
      </c>
      <c r="E293" s="21" t="s">
        <v>6</v>
      </c>
      <c r="F293" s="21" t="s">
        <v>76</v>
      </c>
      <c r="G293" s="21" t="s">
        <v>43</v>
      </c>
      <c r="H293" s="26">
        <v>221.35</v>
      </c>
      <c r="I293" s="26">
        <v>1197.54</v>
      </c>
    </row>
    <row r="294" spans="2:9" ht="16" outlineLevel="1">
      <c r="B294" s="21" t="s">
        <v>113</v>
      </c>
      <c r="C294" s="21" t="s">
        <v>9</v>
      </c>
      <c r="D294" s="21" t="s">
        <v>6</v>
      </c>
      <c r="E294" s="21" t="s">
        <v>6</v>
      </c>
      <c r="F294" s="21" t="s">
        <v>114</v>
      </c>
      <c r="G294" s="21" t="s">
        <v>43</v>
      </c>
      <c r="H294" s="26">
        <v>17.8</v>
      </c>
      <c r="I294" s="26">
        <v>1215.34</v>
      </c>
    </row>
    <row r="295" spans="2:9" ht="16" outlineLevel="1">
      <c r="B295" s="21" t="s">
        <v>120</v>
      </c>
      <c r="C295" s="21" t="s">
        <v>9</v>
      </c>
      <c r="D295" s="21" t="s">
        <v>6</v>
      </c>
      <c r="E295" s="21" t="s">
        <v>6</v>
      </c>
      <c r="F295" s="21" t="s">
        <v>122</v>
      </c>
      <c r="G295" s="21" t="s">
        <v>43</v>
      </c>
      <c r="H295" s="26">
        <v>26.11</v>
      </c>
      <c r="I295" s="26">
        <v>1241.4499999999998</v>
      </c>
    </row>
    <row r="296" spans="2:9" ht="16" outlineLevel="1">
      <c r="B296" s="21" t="s">
        <v>120</v>
      </c>
      <c r="C296" s="21" t="s">
        <v>9</v>
      </c>
      <c r="D296" s="21" t="s">
        <v>6</v>
      </c>
      <c r="E296" s="21" t="s">
        <v>6</v>
      </c>
      <c r="F296" s="21" t="s">
        <v>89</v>
      </c>
      <c r="G296" s="21" t="s">
        <v>43</v>
      </c>
      <c r="H296" s="26">
        <v>200.0</v>
      </c>
      <c r="I296" s="26">
        <v>1441.4499999999998</v>
      </c>
    </row>
    <row r="297" spans="2:9" ht="16" outlineLevel="1">
      <c r="B297" s="21" t="s">
        <v>127</v>
      </c>
      <c r="C297" s="21" t="s">
        <v>9</v>
      </c>
      <c r="D297" s="21" t="s">
        <v>6</v>
      </c>
      <c r="E297" s="21" t="s">
        <v>6</v>
      </c>
      <c r="F297" s="21" t="s">
        <v>129</v>
      </c>
      <c r="G297" s="21" t="s">
        <v>43</v>
      </c>
      <c r="H297" s="26">
        <v>51.26</v>
      </c>
      <c r="I297" s="26">
        <v>1492.7099999999998</v>
      </c>
    </row>
    <row r="298" spans="2:9" ht="16" outlineLevel="1">
      <c r="B298" s="21" t="s">
        <v>130</v>
      </c>
      <c r="C298" s="21" t="s">
        <v>9</v>
      </c>
      <c r="D298" s="21" t="s">
        <v>6</v>
      </c>
      <c r="E298" s="21" t="s">
        <v>6</v>
      </c>
      <c r="F298" s="21" t="s">
        <v>96</v>
      </c>
      <c r="G298" s="21" t="s">
        <v>43</v>
      </c>
      <c r="H298" s="26">
        <v>312.0</v>
      </c>
      <c r="I298" s="26">
        <v>1804.7099999999998</v>
      </c>
    </row>
    <row r="299" spans="2:9" ht="16" outlineLevel="1">
      <c r="B299" s="21" t="s">
        <v>133</v>
      </c>
      <c r="C299" s="21" t="s">
        <v>9</v>
      </c>
      <c r="D299" s="21" t="s">
        <v>6</v>
      </c>
      <c r="E299" s="21" t="s">
        <v>6</v>
      </c>
      <c r="F299" s="21" t="s">
        <v>136</v>
      </c>
      <c r="G299" s="21" t="s">
        <v>43</v>
      </c>
      <c r="H299" s="26">
        <v>148.68</v>
      </c>
      <c r="I299" s="26">
        <v>1953.3899999999999</v>
      </c>
    </row>
    <row r="300" spans="2:9" ht="16" outlineLevel="1">
      <c r="B300" s="21" t="s">
        <v>138</v>
      </c>
      <c r="C300" s="21" t="s">
        <v>9</v>
      </c>
      <c r="D300" s="21" t="s">
        <v>6</v>
      </c>
      <c r="E300" s="21" t="s">
        <v>6</v>
      </c>
      <c r="F300" s="21" t="s">
        <v>140</v>
      </c>
      <c r="G300" s="21" t="s">
        <v>43</v>
      </c>
      <c r="H300" s="26">
        <v>24.2</v>
      </c>
      <c r="I300" s="26">
        <v>1977.59</v>
      </c>
    </row>
    <row r="301" spans="2:9" ht="16" outlineLevel="1">
      <c r="B301" s="21" t="s">
        <v>158</v>
      </c>
      <c r="C301" s="21" t="s">
        <v>9</v>
      </c>
      <c r="D301" s="21" t="s">
        <v>6</v>
      </c>
      <c r="E301" s="21" t="s">
        <v>6</v>
      </c>
      <c r="F301" s="21" t="s">
        <v>89</v>
      </c>
      <c r="G301" s="21" t="s">
        <v>43</v>
      </c>
      <c r="H301" s="26">
        <v>200.0</v>
      </c>
      <c r="I301" s="26">
        <v>2177.59</v>
      </c>
    </row>
    <row r="302" spans="2:9" ht="16" outlineLevel="1">
      <c r="B302" s="21" t="s">
        <v>166</v>
      </c>
      <c r="C302" s="21" t="s">
        <v>9</v>
      </c>
      <c r="D302" s="21" t="s">
        <v>6</v>
      </c>
      <c r="E302" s="21" t="s">
        <v>6</v>
      </c>
      <c r="F302" s="21" t="s">
        <v>167</v>
      </c>
      <c r="G302" s="21" t="s">
        <v>43</v>
      </c>
      <c r="H302" s="26">
        <v>105.69</v>
      </c>
      <c r="I302" s="26">
        <v>2283.28</v>
      </c>
    </row>
    <row r="303" spans="2:9" ht="16" outlineLevel="1">
      <c r="B303" s="21" t="s">
        <v>169</v>
      </c>
      <c r="C303" s="21" t="s">
        <v>9</v>
      </c>
      <c r="D303" s="21" t="s">
        <v>6</v>
      </c>
      <c r="E303" s="21" t="s">
        <v>170</v>
      </c>
      <c r="F303" s="21" t="s">
        <v>96</v>
      </c>
      <c r="G303" s="21" t="s">
        <v>43</v>
      </c>
      <c r="H303" s="26">
        <v>312.0</v>
      </c>
      <c r="I303" s="26">
        <v>2595.28</v>
      </c>
    </row>
    <row r="304" spans="2:9" ht="16" outlineLevel="1">
      <c r="B304" s="21" t="s">
        <v>171</v>
      </c>
      <c r="C304" s="21" t="s">
        <v>9</v>
      </c>
      <c r="D304" s="21" t="s">
        <v>6</v>
      </c>
      <c r="E304" s="21" t="s">
        <v>172</v>
      </c>
      <c r="F304" s="21" t="s">
        <v>132</v>
      </c>
      <c r="G304" s="21" t="s">
        <v>43</v>
      </c>
      <c r="H304" s="26">
        <v>4.0</v>
      </c>
      <c r="I304" s="26">
        <v>2599.28</v>
      </c>
    </row>
    <row r="305" spans="2:9" ht="16" outlineLevel="1">
      <c r="B305" s="21" t="s">
        <v>173</v>
      </c>
      <c r="C305" s="21" t="s">
        <v>9</v>
      </c>
      <c r="D305" s="21" t="s">
        <v>6</v>
      </c>
      <c r="E305" s="21" t="s">
        <v>62</v>
      </c>
      <c r="F305" s="21" t="s">
        <v>63</v>
      </c>
      <c r="G305" s="21" t="s">
        <v>43</v>
      </c>
      <c r="H305" s="26">
        <v>9.49</v>
      </c>
      <c r="I305" s="26">
        <v>2608.77</v>
      </c>
    </row>
    <row r="306" spans="2:9" ht="16" outlineLevel="1">
      <c r="B306" s="21" t="s">
        <v>173</v>
      </c>
      <c r="C306" s="21" t="s">
        <v>9</v>
      </c>
      <c r="D306" s="21" t="s">
        <v>6</v>
      </c>
      <c r="E306" s="21" t="s">
        <v>174</v>
      </c>
      <c r="F306" s="21" t="s">
        <v>175</v>
      </c>
      <c r="G306" s="21" t="s">
        <v>43</v>
      </c>
      <c r="H306" s="26">
        <v>180.0</v>
      </c>
      <c r="I306" s="26">
        <v>2788.77</v>
      </c>
    </row>
    <row r="307" spans="2:9" ht="16" outlineLevel="1">
      <c r="B307" s="21" t="s">
        <v>176</v>
      </c>
      <c r="C307" s="21" t="s">
        <v>9</v>
      </c>
      <c r="D307" s="21" t="s">
        <v>6</v>
      </c>
      <c r="E307" s="21" t="s">
        <v>178</v>
      </c>
      <c r="F307" s="21" t="s">
        <v>179</v>
      </c>
      <c r="G307" s="21" t="s">
        <v>43</v>
      </c>
      <c r="H307" s="26">
        <v>181.14</v>
      </c>
      <c r="I307" s="26">
        <v>2969.91</v>
      </c>
    </row>
    <row r="308" spans="2:9" ht="16" outlineLevel="1">
      <c r="B308" s="21" t="s">
        <v>189</v>
      </c>
      <c r="C308" s="21" t="s">
        <v>9</v>
      </c>
      <c r="D308" s="21" t="s">
        <v>6</v>
      </c>
      <c r="E308" s="21" t="s">
        <v>191</v>
      </c>
      <c r="F308" s="21" t="s">
        <v>167</v>
      </c>
      <c r="G308" s="21" t="s">
        <v>43</v>
      </c>
      <c r="H308" s="26">
        <v>105.0</v>
      </c>
      <c r="I308" s="26">
        <v>3074.91</v>
      </c>
    </row>
    <row r="309" spans="2:9" ht="16" outlineLevel="1">
      <c r="B309" s="21" t="s">
        <v>192</v>
      </c>
      <c r="C309" s="21" t="s">
        <v>9</v>
      </c>
      <c r="D309" s="21" t="s">
        <v>6</v>
      </c>
      <c r="E309" s="21" t="s">
        <v>170</v>
      </c>
      <c r="F309" s="21" t="s">
        <v>96</v>
      </c>
      <c r="G309" s="21" t="s">
        <v>43</v>
      </c>
      <c r="H309" s="26">
        <v>312.0</v>
      </c>
      <c r="I309" s="26">
        <v>3386.91</v>
      </c>
    </row>
    <row r="310" spans="2:9" ht="16" outlineLevel="1">
      <c r="B310" s="21" t="s">
        <v>193</v>
      </c>
      <c r="C310" s="21" t="s">
        <v>9</v>
      </c>
      <c r="D310" s="21" t="s">
        <v>6</v>
      </c>
      <c r="E310" s="21" t="s">
        <v>172</v>
      </c>
      <c r="F310" s="21" t="s">
        <v>132</v>
      </c>
      <c r="G310" s="21" t="s">
        <v>43</v>
      </c>
      <c r="H310" s="26">
        <v>4.0</v>
      </c>
      <c r="I310" s="26">
        <v>3390.91</v>
      </c>
    </row>
    <row r="311" spans="2:9" ht="16" outlineLevel="1">
      <c r="B311" s="21" t="s">
        <v>194</v>
      </c>
      <c r="C311" s="21" t="s">
        <v>9</v>
      </c>
      <c r="D311" s="21" t="s">
        <v>6</v>
      </c>
      <c r="E311" s="21" t="s">
        <v>174</v>
      </c>
      <c r="F311" s="21" t="s">
        <v>175</v>
      </c>
      <c r="G311" s="21" t="s">
        <v>43</v>
      </c>
      <c r="H311" s="26">
        <v>180.0</v>
      </c>
      <c r="I311" s="26">
        <v>3570.91</v>
      </c>
    </row>
    <row r="312" spans="2:9" ht="16" outlineLevel="1">
      <c r="B312" s="21" t="s">
        <v>195</v>
      </c>
      <c r="C312" s="21" t="s">
        <v>9</v>
      </c>
      <c r="D312" s="21" t="s">
        <v>6</v>
      </c>
      <c r="E312" s="21" t="s">
        <v>196</v>
      </c>
      <c r="F312" s="21" t="s">
        <v>89</v>
      </c>
      <c r="G312" s="21" t="s">
        <v>43</v>
      </c>
      <c r="H312" s="26">
        <v>150.0</v>
      </c>
      <c r="I312" s="26">
        <v>3720.91</v>
      </c>
    </row>
    <row r="313" spans="2:9" ht="16" outlineLevel="1">
      <c r="B313" s="21" t="s">
        <v>208</v>
      </c>
      <c r="C313" s="21" t="s">
        <v>9</v>
      </c>
      <c r="D313" s="21" t="s">
        <v>6</v>
      </c>
      <c r="E313" s="21" t="s">
        <v>172</v>
      </c>
      <c r="F313" s="21" t="s">
        <v>132</v>
      </c>
      <c r="G313" s="21" t="s">
        <v>43</v>
      </c>
      <c r="H313" s="26">
        <v>4.0</v>
      </c>
      <c r="I313" s="26">
        <v>3724.91</v>
      </c>
    </row>
    <row r="314" spans="2:9" ht="16" outlineLevel="1">
      <c r="B314" s="21" t="s">
        <v>208</v>
      </c>
      <c r="C314" s="21" t="s">
        <v>9</v>
      </c>
      <c r="D314" s="21" t="s">
        <v>6</v>
      </c>
      <c r="E314" s="21" t="s">
        <v>191</v>
      </c>
      <c r="F314" s="21" t="s">
        <v>210</v>
      </c>
      <c r="G314" s="21" t="s">
        <v>43</v>
      </c>
      <c r="H314" s="26">
        <v>101.74</v>
      </c>
      <c r="I314" s="26">
        <v>3826.6499999999996</v>
      </c>
    </row>
    <row r="315" spans="2:9" ht="16" outlineLevel="1">
      <c r="B315" s="21" t="s">
        <v>211</v>
      </c>
      <c r="C315" s="21" t="s">
        <v>5</v>
      </c>
      <c r="D315" s="21" t="s">
        <v>6</v>
      </c>
      <c r="E315" s="21" t="s">
        <v>196</v>
      </c>
      <c r="F315" s="21" t="s">
        <v>212</v>
      </c>
      <c r="G315" s="21" t="s">
        <v>43</v>
      </c>
      <c r="H315" s="26">
        <v>-150.0</v>
      </c>
      <c r="I315" s="26">
        <v>3676.6499999999996</v>
      </c>
    </row>
    <row r="316" spans="2:9" ht="16" outlineLevel="1">
      <c r="B316" s="21" t="s">
        <v>213</v>
      </c>
      <c r="C316" s="21" t="s">
        <v>9</v>
      </c>
      <c r="D316" s="21" t="s">
        <v>6</v>
      </c>
      <c r="E316" s="21" t="s">
        <v>170</v>
      </c>
      <c r="F316" s="21" t="s">
        <v>96</v>
      </c>
      <c r="G316" s="21" t="s">
        <v>43</v>
      </c>
      <c r="H316" s="26">
        <v>312.0</v>
      </c>
      <c r="I316" s="26">
        <v>3988.6499999999996</v>
      </c>
    </row>
    <row r="317" spans="2:9" ht="16" outlineLevel="1">
      <c r="B317" s="21" t="s">
        <v>217</v>
      </c>
      <c r="C317" s="21" t="s">
        <v>9</v>
      </c>
      <c r="D317" s="21" t="s">
        <v>6</v>
      </c>
      <c r="E317" s="21" t="s">
        <v>174</v>
      </c>
      <c r="F317" s="21" t="s">
        <v>175</v>
      </c>
      <c r="G317" s="21" t="s">
        <v>43</v>
      </c>
      <c r="H317" s="26">
        <v>180.0</v>
      </c>
      <c r="I317" s="26">
        <v>4168.65</v>
      </c>
    </row>
    <row r="318" spans="2:9" ht="16" outlineLevel="1">
      <c r="B318" s="21" t="s">
        <v>233</v>
      </c>
      <c r="C318" s="21" t="s">
        <v>9</v>
      </c>
      <c r="D318" s="21" t="s">
        <v>6</v>
      </c>
      <c r="E318" s="21" t="s">
        <v>235</v>
      </c>
      <c r="F318" s="21" t="s">
        <v>236</v>
      </c>
      <c r="G318" s="21" t="s">
        <v>43</v>
      </c>
      <c r="H318" s="26">
        <v>285.0</v>
      </c>
      <c r="I318" s="26">
        <v>4453.65</v>
      </c>
    </row>
    <row r="319" spans="1:8" ht="16">
      <c r="A319" s="32" t="s">
        <v>251</v>
      </c>
      <c r="H319" s="27">
        <f>H284+H285+H286+H287+H288+H289+H290+H291+H292+H293+H294+H295+H296+H297+H298+H299+H300+H301+H302+H303+H304+H305+H306+H307+H308+H309+H310+H311+H312+H313+H314+H315+H316+H317+H318</f>
        <v>4453.65</v>
      </c>
    </row>
    <row r="320" spans="1:1" ht="16">
      <c r="A320" s="31" t="s">
        <v>223</v>
      </c>
    </row>
    <row r="321" spans="2:9" ht="16" outlineLevel="1">
      <c r="B321" s="21" t="s">
        <v>220</v>
      </c>
      <c r="C321" s="21" t="s">
        <v>9</v>
      </c>
      <c r="D321" s="21" t="s">
        <v>6</v>
      </c>
      <c r="E321" s="21" t="s">
        <v>6</v>
      </c>
      <c r="F321" s="21" t="s">
        <v>222</v>
      </c>
      <c r="G321" s="21" t="s">
        <v>43</v>
      </c>
      <c r="H321" s="26">
        <v>8.26</v>
      </c>
      <c r="I321" s="26">
        <v>8.26</v>
      </c>
    </row>
    <row r="322" spans="1:8" ht="16">
      <c r="A322" s="32" t="s">
        <v>252</v>
      </c>
      <c r="H322" s="27">
        <f>H321</f>
        <v>8.26</v>
      </c>
    </row>
    <row r="323" spans="1:1" ht="16">
      <c r="A323" s="31" t="s">
        <v>25</v>
      </c>
    </row>
    <row r="324" spans="2:9" ht="16" outlineLevel="1">
      <c r="B324" s="21" t="s">
        <v>23</v>
      </c>
      <c r="C324" s="21" t="s">
        <v>9</v>
      </c>
      <c r="D324" s="21" t="s">
        <v>6</v>
      </c>
      <c r="E324" s="21" t="s">
        <v>6</v>
      </c>
      <c r="F324" s="21" t="s">
        <v>24</v>
      </c>
      <c r="G324" s="21" t="s">
        <v>3</v>
      </c>
      <c r="H324" s="26">
        <v>108.0</v>
      </c>
      <c r="I324" s="26">
        <v>108.0</v>
      </c>
    </row>
    <row r="325" spans="2:9" ht="16" outlineLevel="1">
      <c r="B325" s="21" t="s">
        <v>27</v>
      </c>
      <c r="C325" s="21" t="s">
        <v>9</v>
      </c>
      <c r="D325" s="21" t="s">
        <v>6</v>
      </c>
      <c r="E325" s="21" t="s">
        <v>6</v>
      </c>
      <c r="F325" s="21" t="s">
        <v>28</v>
      </c>
      <c r="G325" s="21" t="s">
        <v>3</v>
      </c>
      <c r="H325" s="26">
        <v>2.5</v>
      </c>
      <c r="I325" s="26">
        <v>110.5</v>
      </c>
    </row>
    <row r="326" spans="2:9" ht="16" outlineLevel="1">
      <c r="B326" s="21" t="s">
        <v>29</v>
      </c>
      <c r="C326" s="21" t="s">
        <v>9</v>
      </c>
      <c r="D326" s="21" t="s">
        <v>6</v>
      </c>
      <c r="E326" s="21" t="s">
        <v>6</v>
      </c>
      <c r="F326" s="21" t="s">
        <v>30</v>
      </c>
      <c r="G326" s="21" t="s">
        <v>3</v>
      </c>
      <c r="H326" s="26">
        <v>2.5</v>
      </c>
      <c r="I326" s="26">
        <v>113.0</v>
      </c>
    </row>
    <row r="327" spans="2:9" ht="16" outlineLevel="1">
      <c r="B327" s="21" t="s">
        <v>31</v>
      </c>
      <c r="C327" s="21" t="s">
        <v>9</v>
      </c>
      <c r="D327" s="21" t="s">
        <v>6</v>
      </c>
      <c r="E327" s="21" t="s">
        <v>32</v>
      </c>
      <c r="F327" s="21" t="s">
        <v>33</v>
      </c>
      <c r="G327" s="21" t="s">
        <v>3</v>
      </c>
      <c r="H327" s="26">
        <v>5.88</v>
      </c>
      <c r="I327" s="26">
        <v>118.88</v>
      </c>
    </row>
    <row r="328" spans="2:9" ht="16" outlineLevel="1">
      <c r="B328" s="21" t="s">
        <v>36</v>
      </c>
      <c r="C328" s="21" t="s">
        <v>9</v>
      </c>
      <c r="D328" s="21" t="s">
        <v>6</v>
      </c>
      <c r="E328" s="21" t="s">
        <v>6</v>
      </c>
      <c r="F328" s="21" t="s">
        <v>37</v>
      </c>
      <c r="G328" s="21" t="s">
        <v>3</v>
      </c>
      <c r="H328" s="26">
        <v>2.5</v>
      </c>
      <c r="I328" s="26">
        <v>121.38</v>
      </c>
    </row>
    <row r="329" spans="2:9" ht="16" outlineLevel="1">
      <c r="B329" s="21" t="s">
        <v>83</v>
      </c>
      <c r="C329" s="21" t="s">
        <v>9</v>
      </c>
      <c r="D329" s="21" t="s">
        <v>6</v>
      </c>
      <c r="E329" s="21" t="s">
        <v>32</v>
      </c>
      <c r="F329" s="21" t="s">
        <v>84</v>
      </c>
      <c r="G329" s="21" t="s">
        <v>43</v>
      </c>
      <c r="H329" s="26">
        <v>5.88</v>
      </c>
      <c r="I329" s="26">
        <v>127.25999999999999</v>
      </c>
    </row>
    <row r="330" spans="2:9" ht="16" outlineLevel="1">
      <c r="B330" s="21" t="s">
        <v>112</v>
      </c>
      <c r="C330" s="21" t="s">
        <v>9</v>
      </c>
      <c r="D330" s="21" t="s">
        <v>6</v>
      </c>
      <c r="E330" s="21" t="s">
        <v>32</v>
      </c>
      <c r="F330" s="21" t="s">
        <v>84</v>
      </c>
      <c r="G330" s="21" t="s">
        <v>43</v>
      </c>
      <c r="H330" s="26">
        <v>5.88</v>
      </c>
      <c r="I330" s="26">
        <v>133.14</v>
      </c>
    </row>
    <row r="331" spans="2:9" ht="16" outlineLevel="1">
      <c r="B331" s="21" t="s">
        <v>123</v>
      </c>
      <c r="C331" s="21" t="s">
        <v>9</v>
      </c>
      <c r="D331" s="21" t="s">
        <v>6</v>
      </c>
      <c r="E331" s="21" t="s">
        <v>6</v>
      </c>
      <c r="F331" s="21" t="s">
        <v>124</v>
      </c>
      <c r="G331" s="21" t="s">
        <v>43</v>
      </c>
      <c r="H331" s="26">
        <v>155.88</v>
      </c>
      <c r="I331" s="26">
        <v>289.02</v>
      </c>
    </row>
    <row r="332" spans="2:9" ht="16" outlineLevel="1">
      <c r="B332" s="21" t="s">
        <v>131</v>
      </c>
      <c r="C332" s="21" t="s">
        <v>9</v>
      </c>
      <c r="D332" s="21" t="s">
        <v>6</v>
      </c>
      <c r="E332" s="21" t="s">
        <v>6</v>
      </c>
      <c r="F332" s="21" t="s">
        <v>132</v>
      </c>
      <c r="G332" s="21" t="s">
        <v>43</v>
      </c>
      <c r="H332" s="26">
        <v>4.0</v>
      </c>
      <c r="I332" s="26">
        <v>293.02</v>
      </c>
    </row>
    <row r="333" spans="2:9" ht="16" outlineLevel="1">
      <c r="B333" s="21" t="s">
        <v>133</v>
      </c>
      <c r="C333" s="21" t="s">
        <v>9</v>
      </c>
      <c r="D333" s="21" t="s">
        <v>6</v>
      </c>
      <c r="E333" s="21" t="s">
        <v>62</v>
      </c>
      <c r="F333" s="21" t="s">
        <v>63</v>
      </c>
      <c r="G333" s="21" t="s">
        <v>43</v>
      </c>
      <c r="H333" s="26">
        <v>9.49</v>
      </c>
      <c r="I333" s="26">
        <v>302.51</v>
      </c>
    </row>
    <row r="334" spans="2:9" ht="16" outlineLevel="1">
      <c r="B334" s="21" t="s">
        <v>150</v>
      </c>
      <c r="C334" s="21" t="s">
        <v>9</v>
      </c>
      <c r="D334" s="21" t="s">
        <v>6</v>
      </c>
      <c r="E334" s="21" t="s">
        <v>32</v>
      </c>
      <c r="F334" s="21" t="s">
        <v>84</v>
      </c>
      <c r="G334" s="21" t="s">
        <v>43</v>
      </c>
      <c r="H334" s="26">
        <v>5.88</v>
      </c>
      <c r="I334" s="26">
        <v>308.39</v>
      </c>
    </row>
    <row r="335" spans="2:9" ht="16" outlineLevel="1">
      <c r="B335" s="21" t="s">
        <v>154</v>
      </c>
      <c r="C335" s="21" t="s">
        <v>9</v>
      </c>
      <c r="D335" s="21" t="s">
        <v>6</v>
      </c>
      <c r="E335" s="21" t="s">
        <v>155</v>
      </c>
      <c r="F335" s="21" t="s">
        <v>156</v>
      </c>
      <c r="G335" s="21" t="s">
        <v>43</v>
      </c>
      <c r="H335" s="26">
        <v>1.92</v>
      </c>
      <c r="I335" s="26">
        <v>310.31</v>
      </c>
    </row>
    <row r="336" spans="2:9" ht="16" outlineLevel="1">
      <c r="B336" s="21" t="s">
        <v>160</v>
      </c>
      <c r="C336" s="21" t="s">
        <v>9</v>
      </c>
      <c r="D336" s="21" t="s">
        <v>6</v>
      </c>
      <c r="E336" s="21" t="s">
        <v>6</v>
      </c>
      <c r="F336" s="21" t="s">
        <v>161</v>
      </c>
      <c r="G336" s="21" t="s">
        <v>43</v>
      </c>
      <c r="H336" s="26">
        <v>1.92</v>
      </c>
      <c r="I336" s="26">
        <v>312.23</v>
      </c>
    </row>
    <row r="337" spans="2:9" ht="16" outlineLevel="1">
      <c r="B337" s="21" t="s">
        <v>40</v>
      </c>
      <c r="C337" s="21" t="s">
        <v>5</v>
      </c>
      <c r="D337" s="21" t="s">
        <v>6</v>
      </c>
      <c r="E337" s="21" t="s">
        <v>6</v>
      </c>
      <c r="F337" s="21" t="s">
        <v>41</v>
      </c>
      <c r="G337" s="21" t="s">
        <v>3</v>
      </c>
      <c r="H337" s="26">
        <v>-108.0</v>
      </c>
      <c r="I337" s="26">
        <v>204.23000000000002</v>
      </c>
    </row>
    <row r="338" spans="2:9" ht="16" outlineLevel="1">
      <c r="B338" s="21" t="s">
        <v>183</v>
      </c>
      <c r="C338" s="21" t="s">
        <v>9</v>
      </c>
      <c r="D338" s="21" t="s">
        <v>6</v>
      </c>
      <c r="E338" s="21" t="s">
        <v>32</v>
      </c>
      <c r="F338" s="21" t="s">
        <v>184</v>
      </c>
      <c r="G338" s="21" t="s">
        <v>43</v>
      </c>
      <c r="H338" s="26">
        <v>5.88</v>
      </c>
      <c r="I338" s="26">
        <v>210.11</v>
      </c>
    </row>
    <row r="339" spans="2:9" ht="16" outlineLevel="1">
      <c r="B339" s="21" t="s">
        <v>188</v>
      </c>
      <c r="C339" s="21" t="s">
        <v>9</v>
      </c>
      <c r="D339" s="21" t="s">
        <v>6</v>
      </c>
      <c r="E339" s="21" t="s">
        <v>6</v>
      </c>
      <c r="F339" s="21" t="s">
        <v>156</v>
      </c>
      <c r="G339" s="21" t="s">
        <v>43</v>
      </c>
      <c r="H339" s="26">
        <v>1.92</v>
      </c>
      <c r="I339" s="26">
        <v>212.03</v>
      </c>
    </row>
    <row r="340" spans="2:9" ht="16" outlineLevel="1">
      <c r="B340" s="21" t="s">
        <v>199</v>
      </c>
      <c r="C340" s="21" t="s">
        <v>9</v>
      </c>
      <c r="D340" s="21" t="s">
        <v>6</v>
      </c>
      <c r="E340" s="21" t="s">
        <v>32</v>
      </c>
      <c r="F340" s="21" t="s">
        <v>84</v>
      </c>
      <c r="G340" s="21" t="s">
        <v>43</v>
      </c>
      <c r="H340" s="26">
        <v>5.8</v>
      </c>
      <c r="I340" s="26">
        <v>217.83</v>
      </c>
    </row>
    <row r="341" spans="2:9" ht="16" outlineLevel="1">
      <c r="B341" s="21" t="s">
        <v>200</v>
      </c>
      <c r="C341" s="21" t="s">
        <v>9</v>
      </c>
      <c r="D341" s="21" t="s">
        <v>6</v>
      </c>
      <c r="E341" s="21" t="s">
        <v>62</v>
      </c>
      <c r="F341" s="21" t="s">
        <v>201</v>
      </c>
      <c r="G341" s="21" t="s">
        <v>43</v>
      </c>
      <c r="H341" s="26">
        <v>18.99</v>
      </c>
      <c r="I341" s="26">
        <v>236.82000000000002</v>
      </c>
    </row>
    <row r="342" spans="2:9" ht="16" outlineLevel="1">
      <c r="B342" s="21" t="s">
        <v>207</v>
      </c>
      <c r="C342" s="21" t="s">
        <v>9</v>
      </c>
      <c r="D342" s="21" t="s">
        <v>6</v>
      </c>
      <c r="E342" s="21" t="s">
        <v>155</v>
      </c>
      <c r="F342" s="21" t="s">
        <v>156</v>
      </c>
      <c r="G342" s="21" t="s">
        <v>43</v>
      </c>
      <c r="H342" s="26">
        <v>1.92</v>
      </c>
      <c r="I342" s="26">
        <v>238.74</v>
      </c>
    </row>
    <row r="343" spans="2:9" ht="16" outlineLevel="1">
      <c r="B343" s="21" t="s">
        <v>226</v>
      </c>
      <c r="C343" s="21" t="s">
        <v>9</v>
      </c>
      <c r="D343" s="21" t="s">
        <v>6</v>
      </c>
      <c r="E343" s="21" t="s">
        <v>62</v>
      </c>
      <c r="F343" s="21" t="s">
        <v>63</v>
      </c>
      <c r="G343" s="21" t="s">
        <v>43</v>
      </c>
      <c r="H343" s="26">
        <v>18.99</v>
      </c>
      <c r="I343" s="26">
        <v>257.73</v>
      </c>
    </row>
    <row r="344" spans="2:9" ht="16" outlineLevel="1">
      <c r="B344" s="21" t="s">
        <v>227</v>
      </c>
      <c r="C344" s="21" t="s">
        <v>9</v>
      </c>
      <c r="D344" s="21" t="s">
        <v>6</v>
      </c>
      <c r="E344" s="21" t="s">
        <v>32</v>
      </c>
      <c r="F344" s="21" t="s">
        <v>228</v>
      </c>
      <c r="G344" s="21" t="s">
        <v>43</v>
      </c>
      <c r="H344" s="26">
        <v>5.8</v>
      </c>
      <c r="I344" s="26">
        <v>263.53000000000003</v>
      </c>
    </row>
    <row r="345" spans="2:9" ht="16" outlineLevel="1">
      <c r="B345" s="21" t="s">
        <v>229</v>
      </c>
      <c r="C345" s="21" t="s">
        <v>9</v>
      </c>
      <c r="D345" s="21" t="s">
        <v>6</v>
      </c>
      <c r="E345" s="21" t="s">
        <v>196</v>
      </c>
      <c r="F345" s="21" t="s">
        <v>230</v>
      </c>
      <c r="G345" s="21" t="s">
        <v>43</v>
      </c>
      <c r="H345" s="26">
        <v>31.22</v>
      </c>
      <c r="I345" s="26">
        <v>294.75</v>
      </c>
    </row>
    <row r="346" spans="2:9" ht="16" outlineLevel="1">
      <c r="B346" s="21" t="s">
        <v>231</v>
      </c>
      <c r="C346" s="21" t="s">
        <v>9</v>
      </c>
      <c r="D346" s="21" t="s">
        <v>6</v>
      </c>
      <c r="E346" s="21" t="s">
        <v>232</v>
      </c>
      <c r="F346" s="21" t="s">
        <v>156</v>
      </c>
      <c r="G346" s="21" t="s">
        <v>43</v>
      </c>
      <c r="H346" s="26">
        <v>1.92</v>
      </c>
      <c r="I346" s="26">
        <v>296.67</v>
      </c>
    </row>
    <row r="347" spans="1:8" ht="16">
      <c r="A347" s="32" t="s">
        <v>253</v>
      </c>
      <c r="H347" s="27">
        <f>H324+H325+H326+H327+H328+H329+H330+H331+H332+H333+H334+H335+H336+H337+H338+H339+H340+H341+H342+H343+H344+H345+H346</f>
        <v>296.67</v>
      </c>
    </row>
    <row r="348" spans="1:1" ht="16">
      <c r="A348" s="31" t="s">
        <v>51</v>
      </c>
    </row>
    <row r="349" spans="2:9" ht="16" outlineLevel="1">
      <c r="B349" s="21" t="s">
        <v>44</v>
      </c>
      <c r="C349" s="21" t="s">
        <v>9</v>
      </c>
      <c r="D349" s="21" t="s">
        <v>6</v>
      </c>
      <c r="E349" s="21" t="s">
        <v>6</v>
      </c>
      <c r="F349" s="21" t="s">
        <v>50</v>
      </c>
      <c r="G349" s="21" t="s">
        <v>43</v>
      </c>
      <c r="H349" s="26">
        <v>45.0</v>
      </c>
      <c r="I349" s="26">
        <v>45.0</v>
      </c>
    </row>
    <row r="350" spans="1:8" ht="16">
      <c r="A350" s="32" t="s">
        <v>254</v>
      </c>
      <c r="H350" s="27">
        <f>H349</f>
        <v>45.0</v>
      </c>
    </row>
    <row r="351" spans="1:1" ht="16">
      <c r="A351" s="31" t="s">
        <v>22</v>
      </c>
    </row>
    <row r="352" spans="2:9" ht="16" outlineLevel="1">
      <c r="B352" s="21" t="s">
        <v>20</v>
      </c>
      <c r="C352" s="21" t="s">
        <v>9</v>
      </c>
      <c r="D352" s="21" t="s">
        <v>6</v>
      </c>
      <c r="E352" s="21" t="s">
        <v>6</v>
      </c>
      <c r="F352" s="21" t="s">
        <v>21</v>
      </c>
      <c r="G352" s="21" t="s">
        <v>3</v>
      </c>
      <c r="H352" s="26">
        <v>1535.26</v>
      </c>
      <c r="I352" s="26">
        <v>1535.26</v>
      </c>
    </row>
    <row r="353" spans="1:8" ht="16">
      <c r="A353" s="32" t="s">
        <v>255</v>
      </c>
      <c r="H353" s="27">
        <f>H352</f>
        <v>1535.26</v>
      </c>
    </row>
    <row r="354" spans="1:1" ht="16">
      <c r="A354" s="31" t="s">
        <v>49</v>
      </c>
    </row>
    <row r="355" spans="2:9" ht="16" outlineLevel="1">
      <c r="B355" s="21" t="s">
        <v>44</v>
      </c>
      <c r="C355" s="21" t="s">
        <v>5</v>
      </c>
      <c r="D355" s="21" t="s">
        <v>6</v>
      </c>
      <c r="E355" s="21" t="s">
        <v>6</v>
      </c>
      <c r="F355" s="21" t="s">
        <v>48</v>
      </c>
      <c r="G355" s="21" t="s">
        <v>43</v>
      </c>
      <c r="H355" s="26">
        <v>45.0</v>
      </c>
      <c r="I355" s="26">
        <v>45.0</v>
      </c>
    </row>
    <row r="356" spans="2:9" ht="16" outlineLevel="1">
      <c r="B356" s="21" t="s">
        <v>31</v>
      </c>
      <c r="C356" s="21" t="s">
        <v>5</v>
      </c>
      <c r="D356" s="21" t="s">
        <v>6</v>
      </c>
      <c r="E356" s="21" t="s">
        <v>6</v>
      </c>
      <c r="F356" s="21" t="s">
        <v>54</v>
      </c>
      <c r="G356" s="21" t="s">
        <v>43</v>
      </c>
      <c r="H356" s="26">
        <v>15000.0</v>
      </c>
      <c r="I356" s="26">
        <v>15045.0</v>
      </c>
    </row>
    <row r="357" spans="2:9" ht="16" outlineLevel="1">
      <c r="B357" s="21" t="s">
        <v>90</v>
      </c>
      <c r="C357" s="21" t="s">
        <v>5</v>
      </c>
      <c r="D357" s="21" t="s">
        <v>6</v>
      </c>
      <c r="E357" s="21" t="s">
        <v>6</v>
      </c>
      <c r="F357" s="21" t="s">
        <v>91</v>
      </c>
      <c r="G357" s="21" t="s">
        <v>43</v>
      </c>
      <c r="H357" s="26">
        <v>6.13</v>
      </c>
      <c r="I357" s="26">
        <v>15051.13</v>
      </c>
    </row>
    <row r="358" spans="2:9" ht="16" outlineLevel="1">
      <c r="B358" s="21" t="s">
        <v>94</v>
      </c>
      <c r="C358" s="21" t="s">
        <v>5</v>
      </c>
      <c r="D358" s="21" t="s">
        <v>6</v>
      </c>
      <c r="E358" s="21" t="s">
        <v>6</v>
      </c>
      <c r="F358" s="21" t="s">
        <v>95</v>
      </c>
      <c r="G358" s="21" t="s">
        <v>43</v>
      </c>
      <c r="H358" s="26">
        <v>1.64</v>
      </c>
      <c r="I358" s="26">
        <v>15052.769999999999</v>
      </c>
    </row>
    <row r="359" spans="2:9" ht="16" outlineLevel="1">
      <c r="B359" s="21" t="s">
        <v>110</v>
      </c>
      <c r="C359" s="21" t="s">
        <v>5</v>
      </c>
      <c r="D359" s="21" t="s">
        <v>6</v>
      </c>
      <c r="E359" s="21" t="s">
        <v>6</v>
      </c>
      <c r="F359" s="21" t="s">
        <v>54</v>
      </c>
      <c r="G359" s="21" t="s">
        <v>43</v>
      </c>
      <c r="H359" s="26">
        <v>70810.0</v>
      </c>
      <c r="I359" s="26">
        <v>85862.77</v>
      </c>
    </row>
    <row r="360" spans="2:9" ht="16" outlineLevel="1">
      <c r="B360" s="21" t="s">
        <v>130</v>
      </c>
      <c r="C360" s="21" t="s">
        <v>5</v>
      </c>
      <c r="D360" s="21" t="s">
        <v>6</v>
      </c>
      <c r="E360" s="21" t="s">
        <v>6</v>
      </c>
      <c r="F360" s="21" t="s">
        <v>95</v>
      </c>
      <c r="G360" s="21" t="s">
        <v>43</v>
      </c>
      <c r="H360" s="26">
        <v>2.38</v>
      </c>
      <c r="I360" s="26">
        <v>85865.15000000001</v>
      </c>
    </row>
    <row r="361" spans="2:9" ht="16" outlineLevel="1">
      <c r="B361" s="21" t="s">
        <v>169</v>
      </c>
      <c r="C361" s="21" t="s">
        <v>5</v>
      </c>
      <c r="D361" s="21" t="s">
        <v>6</v>
      </c>
      <c r="E361" s="21" t="s">
        <v>6</v>
      </c>
      <c r="F361" s="21" t="s">
        <v>95</v>
      </c>
      <c r="G361" s="21" t="s">
        <v>43</v>
      </c>
      <c r="H361" s="26">
        <v>31.13</v>
      </c>
      <c r="I361" s="26">
        <v>85896.28000000001</v>
      </c>
    </row>
    <row r="362" spans="2:9" ht="16" outlineLevel="1">
      <c r="B362" s="21" t="s">
        <v>192</v>
      </c>
      <c r="C362" s="21" t="s">
        <v>5</v>
      </c>
      <c r="D362" s="21" t="s">
        <v>6</v>
      </c>
      <c r="E362" s="21" t="s">
        <v>6</v>
      </c>
      <c r="F362" s="21" t="s">
        <v>95</v>
      </c>
      <c r="G362" s="21" t="s">
        <v>43</v>
      </c>
      <c r="H362" s="26">
        <v>2.04</v>
      </c>
      <c r="I362" s="26">
        <v>85898.32</v>
      </c>
    </row>
    <row r="363" spans="2:9" ht="16" outlineLevel="1">
      <c r="B363" s="21" t="s">
        <v>202</v>
      </c>
      <c r="C363" s="21" t="s">
        <v>5</v>
      </c>
      <c r="D363" s="21" t="s">
        <v>6</v>
      </c>
      <c r="E363" s="21" t="s">
        <v>6</v>
      </c>
      <c r="F363" s="21" t="s">
        <v>54</v>
      </c>
      <c r="G363" s="21" t="s">
        <v>43</v>
      </c>
      <c r="H363" s="26">
        <v>20000.0</v>
      </c>
      <c r="I363" s="26">
        <v>105898.32</v>
      </c>
    </row>
    <row r="364" spans="2:9" ht="16" outlineLevel="1">
      <c r="B364" s="21" t="s">
        <v>202</v>
      </c>
      <c r="C364" s="21" t="s">
        <v>5</v>
      </c>
      <c r="D364" s="21" t="s">
        <v>6</v>
      </c>
      <c r="E364" s="21" t="s">
        <v>6</v>
      </c>
      <c r="F364" s="21" t="s">
        <v>54</v>
      </c>
      <c r="G364" s="21" t="s">
        <v>43</v>
      </c>
      <c r="H364" s="26">
        <v>7000.0</v>
      </c>
      <c r="I364" s="26">
        <v>112898.32</v>
      </c>
    </row>
    <row r="365" spans="2:9" ht="16" outlineLevel="1">
      <c r="B365" s="21" t="s">
        <v>202</v>
      </c>
      <c r="C365" s="21" t="s">
        <v>5</v>
      </c>
      <c r="D365" s="21" t="s">
        <v>6</v>
      </c>
      <c r="E365" s="21" t="s">
        <v>6</v>
      </c>
      <c r="F365" s="21" t="s">
        <v>54</v>
      </c>
      <c r="G365" s="21" t="s">
        <v>43</v>
      </c>
      <c r="H365" s="26">
        <v>200000.0</v>
      </c>
      <c r="I365" s="26">
        <v>312898.32</v>
      </c>
    </row>
    <row r="366" spans="2:9" ht="16" outlineLevel="1">
      <c r="B366" s="21" t="s">
        <v>202</v>
      </c>
      <c r="C366" s="21" t="s">
        <v>5</v>
      </c>
      <c r="D366" s="21" t="s">
        <v>6</v>
      </c>
      <c r="E366" s="21" t="s">
        <v>6</v>
      </c>
      <c r="F366" s="21" t="s">
        <v>54</v>
      </c>
      <c r="G366" s="21" t="s">
        <v>43</v>
      </c>
      <c r="H366" s="26">
        <v>220000.0</v>
      </c>
      <c r="I366" s="26">
        <v>532898.3200000001</v>
      </c>
    </row>
    <row r="367" spans="2:9" ht="16" outlineLevel="1">
      <c r="B367" s="21" t="s">
        <v>213</v>
      </c>
      <c r="C367" s="21" t="s">
        <v>5</v>
      </c>
      <c r="D367" s="21" t="s">
        <v>6</v>
      </c>
      <c r="E367" s="21" t="s">
        <v>6</v>
      </c>
      <c r="F367" s="21" t="s">
        <v>95</v>
      </c>
      <c r="G367" s="21" t="s">
        <v>43</v>
      </c>
      <c r="H367" s="26">
        <v>1.78</v>
      </c>
      <c r="I367" s="26">
        <v>532900.1000000001</v>
      </c>
    </row>
    <row r="368" spans="2:9" ht="16" outlineLevel="1">
      <c r="B368" s="21" t="s">
        <v>213</v>
      </c>
      <c r="C368" s="21" t="s">
        <v>5</v>
      </c>
      <c r="D368" s="21" t="s">
        <v>6</v>
      </c>
      <c r="E368" s="21" t="s">
        <v>6</v>
      </c>
      <c r="F368" s="21" t="s">
        <v>54</v>
      </c>
      <c r="G368" s="21" t="s">
        <v>43</v>
      </c>
      <c r="H368" s="26">
        <v>239786.77</v>
      </c>
      <c r="I368" s="26">
        <v>772686.8700000001</v>
      </c>
    </row>
    <row r="369" spans="1:8" ht="16">
      <c r="A369" s="32" t="s">
        <v>256</v>
      </c>
      <c r="H369" s="27">
        <f>H355+H356+H357+H358+H359+H360+H361+H362+H363+H364+H365+H366+H367+H368</f>
        <v>772686.8700000001</v>
      </c>
    </row>
    <row r="370" spans="2:8" ht="16">
      <c r="B370" s="22" t="s">
        <v>257</v>
      </c>
      <c r="H370" s="27">
        <v>529373.0400000002</v>
      </c>
    </row>
    <row r="374" spans="1:1" ht="16">
      <c r="A374" s="33" t="s">
        <v>266</v>
      </c>
    </row>
  </sheetData>
  <mergeCells count="4">
    <mergeCell ref="A1:H1"/>
    <mergeCell ref="A2:H2"/>
    <mergeCell ref="A3:H3"/>
    <mergeCell ref="A374:H37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