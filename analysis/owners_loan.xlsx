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ibkr-hmrc\analysis\"/>
    </mc:Choice>
  </mc:AlternateContent>
  <xr:revisionPtr revIDLastSave="0" documentId="13_ncr:1_{E5AB9F28-5B7D-4A81-90D3-BB19C28A09D6}" xr6:coauthVersionLast="47" xr6:coauthVersionMax="47" xr10:uidLastSave="{00000000-0000-0000-0000-000000000000}"/>
  <bookViews>
    <workbookView xWindow="285" yWindow="195" windowWidth="24105" windowHeight="20430" xr2:uid="{AACE51E9-B8F6-4A38-98F2-DD47ECA54C32}"/>
  </bookViews>
  <sheets>
    <sheet name="owners loa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  <c r="C44" i="1"/>
  <c r="A43" i="1"/>
  <c r="B43" i="1"/>
  <c r="C43" i="1"/>
  <c r="D43" i="1"/>
  <c r="E43" i="1"/>
  <c r="B42" i="1"/>
  <c r="C42" i="1"/>
  <c r="D42" i="1"/>
  <c r="E42" i="1"/>
  <c r="A42" i="1"/>
  <c r="A41" i="1"/>
  <c r="B41" i="1"/>
  <c r="C41" i="1"/>
  <c r="E41" i="1"/>
  <c r="A36" i="1"/>
  <c r="B36" i="1"/>
  <c r="C36" i="1"/>
  <c r="E36" i="1"/>
  <c r="A37" i="1"/>
  <c r="B37" i="1"/>
  <c r="C37" i="1"/>
  <c r="E37" i="1"/>
  <c r="A38" i="1"/>
  <c r="B38" i="1"/>
  <c r="C38" i="1"/>
  <c r="E38" i="1"/>
  <c r="A39" i="1"/>
  <c r="B39" i="1"/>
  <c r="C39" i="1"/>
  <c r="E39" i="1"/>
  <c r="A40" i="1"/>
  <c r="B40" i="1"/>
  <c r="C40" i="1"/>
  <c r="E40" i="1"/>
  <c r="B35" i="1"/>
  <c r="C35" i="1"/>
  <c r="E35" i="1"/>
  <c r="A35" i="1"/>
  <c r="B52" i="1"/>
  <c r="C52" i="1"/>
  <c r="D52" i="1"/>
  <c r="E52" i="1"/>
  <c r="A52" i="1"/>
  <c r="B48" i="1"/>
  <c r="C48" i="1"/>
  <c r="D48" i="1"/>
  <c r="E48" i="1"/>
  <c r="A48" i="1"/>
  <c r="A50" i="1"/>
  <c r="B50" i="1"/>
  <c r="C50" i="1"/>
  <c r="D50" i="1"/>
  <c r="E50" i="1"/>
  <c r="A51" i="1"/>
  <c r="B51" i="1"/>
  <c r="C51" i="1"/>
  <c r="D51" i="1"/>
  <c r="E51" i="1"/>
  <c r="B49" i="1"/>
  <c r="C49" i="1"/>
  <c r="D49" i="1"/>
  <c r="E49" i="1"/>
  <c r="A49" i="1"/>
  <c r="B47" i="1"/>
  <c r="C47" i="1"/>
  <c r="C53" i="1" s="1"/>
  <c r="D47" i="1"/>
  <c r="E47" i="1"/>
  <c r="A47" i="1"/>
</calcChain>
</file>

<file path=xl/sharedStrings.xml><?xml version="1.0" encoding="utf-8"?>
<sst xmlns="http://schemas.openxmlformats.org/spreadsheetml/2006/main" count="83" uniqueCount="29">
  <si>
    <t>Date</t>
  </si>
  <si>
    <t>Account</t>
  </si>
  <si>
    <t>Amount</t>
  </si>
  <si>
    <t>Subcategory</t>
  </si>
  <si>
    <t>Memo</t>
  </si>
  <si>
    <t>20-32-06 63017885</t>
  </si>
  <si>
    <t>Counter Credit</t>
  </si>
  <si>
    <t xml:space="preserve">Caesaris Denarii L    	Salary BGC	</t>
  </si>
  <si>
    <t>Caesaris Denarii L    	CAESARIS DENARII L BG</t>
  </si>
  <si>
    <t>Caesaris Denarii L    	Owners loan repaym BG</t>
  </si>
  <si>
    <t>Bill Payment</t>
  </si>
  <si>
    <t xml:space="preserve">CAESARIS DE LTD       	DIRECTOR LOAN BBP	</t>
  </si>
  <si>
    <t xml:space="preserve">CAESARIS DE LTD       	DIRECTOR BBP	</t>
  </si>
  <si>
    <t>Owners loan repayment</t>
  </si>
  <si>
    <t xml:space="preserve">CAESARIS DENARII L    	DIRECTOR FT	</t>
  </si>
  <si>
    <t>23-14-70 96285266</t>
  </si>
  <si>
    <t>Salary</t>
  </si>
  <si>
    <t>Barclays</t>
  </si>
  <si>
    <t>Wise</t>
  </si>
  <si>
    <t>Internal Transfer Out To Account U17419949</t>
  </si>
  <si>
    <t>U6361921</t>
  </si>
  <si>
    <t>IBKR to IBKR</t>
  </si>
  <si>
    <t>Owners loan</t>
  </si>
  <si>
    <t>Wrong labelled - This was salary</t>
  </si>
  <si>
    <t>Withdraw this to pay taxes from previous fiscal year</t>
  </si>
  <si>
    <t>Summary: Director -&gt; Business</t>
  </si>
  <si>
    <t>Summary:  Business -&gt; Director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</si>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</sst>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/>
    <xf numFmtId="14" fontId="19" fillId="0" borderId="0" xfId="0" applyNumberFormat="1" applyFont="1"/>
    <xf numFmtId="14" fontId="19" fillId="33" borderId="0" xfId="0" applyNumberFormat="1" applyFont="1" applyFill="1"/>
    <xf numFmtId="0" fontId="19" fillId="33" borderId="0" xfId="0" applyFont="1" applyFill="1"/>
    <xf numFmtId="4" fontId="19" fillId="33" borderId="0" xfId="0" applyNumberFormat="1" applyFont="1" applyFill="1"/>
    <xf numFmtId="0" fontId="19" fillId="33" borderId="0" xfId="0" applyFont="1" applyFill="1" applyAlignment="1">
      <alignment horizontal="center"/>
    </xf>
    <xf numFmtId="14" fontId="19" fillId="33" borderId="10" xfId="0" applyNumberFormat="1" applyFont="1" applyFill="1" applyBorder="1"/>
    <xf numFmtId="0" fontId="20" fillId="0" borderId="0" xfId="0" applyFont="1"/>
    <xf numFmtId="14" fontId="19" fillId="34" borderId="0" xfId="0" applyNumberFormat="1" applyFont="1" applyFill="1"/>
    <xf numFmtId="0" fontId="19" fillId="34" borderId="0" xfId="0" applyFont="1" applyFill="1"/>
    <xf numFmtId="4" fontId="19" fillId="34" borderId="0" xfId="0" applyNumberFormat="1" applyFont="1" applyFill="1"/>
    <xf numFmtId="14" fontId="19" fillId="34" borderId="10" xfId="0" applyNumberFormat="1" applyFont="1" applyFill="1" applyBorder="1"/>
    <xf numFmtId="4" fontId="19" fillId="34" borderId="10" xfId="0" applyNumberFormat="1" applyFont="1" applyFill="1" applyBorder="1"/>
    <xf numFmtId="4" fontId="19" fillId="33" borderId="10" xfId="0" applyNumberFormat="1" applyFont="1" applyFill="1" applyBorder="1"/>
    <xf numFmtId="4" fontId="19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C518-1AEB-450B-A1A2-AD06E9DDCCA1}">
  <dimension ref="A1:H55"/>
  <sheetViews>
    <sheetView tabSelected="1" topLeftCell="A22" workbookViewId="0">
      <selection activeCell="C56" sqref="C56"/>
    </sheetView>
  </sheetViews>
  <sheetFormatPr defaultRowHeight="15" x14ac:dyDescent="0.25"/>
  <cols>
    <col min="1" max="1" width="10.7109375" style="1" bestFit="1" customWidth="1"/>
    <col min="2" max="2" width="17" style="1" bestFit="1" customWidth="1"/>
    <col min="3" max="3" width="14.28515625" style="1" bestFit="1" customWidth="1"/>
    <col min="4" max="4" width="22.7109375" style="1" bestFit="1" customWidth="1"/>
    <col min="5" max="5" width="45.85546875" style="1" customWidth="1"/>
    <col min="6" max="16384" width="9.140625" style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8" x14ac:dyDescent="0.25">
      <c r="G2" s="4" t="s">
        <v>27</v>
      </c>
      <c r="H2" s="10" t="s">
        <v>28</v>
      </c>
    </row>
    <row r="3" spans="1:8" ht="18.75" x14ac:dyDescent="0.3">
      <c r="A3" s="16" t="s">
        <v>21</v>
      </c>
      <c r="B3" s="16"/>
      <c r="C3" s="16"/>
      <c r="D3" s="16"/>
      <c r="E3" s="16"/>
    </row>
    <row r="4" spans="1:8" x14ac:dyDescent="0.25">
      <c r="A4" s="3">
        <v>45715</v>
      </c>
      <c r="B4" s="4" t="s">
        <v>20</v>
      </c>
      <c r="C4" s="5">
        <v>-19664.29</v>
      </c>
      <c r="D4" s="6"/>
      <c r="E4" s="4" t="s">
        <v>19</v>
      </c>
    </row>
    <row r="5" spans="1:8" x14ac:dyDescent="0.25">
      <c r="A5" s="3">
        <v>45720</v>
      </c>
      <c r="B5" s="4" t="s">
        <v>20</v>
      </c>
      <c r="C5" s="5">
        <v>-36303.32</v>
      </c>
      <c r="D5" s="4"/>
      <c r="E5" s="4" t="s">
        <v>19</v>
      </c>
    </row>
    <row r="6" spans="1:8" x14ac:dyDescent="0.25">
      <c r="A6" s="3">
        <v>45720</v>
      </c>
      <c r="B6" s="4" t="s">
        <v>20</v>
      </c>
      <c r="C6" s="5">
        <v>-49586.15</v>
      </c>
      <c r="D6" s="4"/>
      <c r="E6" s="4" t="s">
        <v>19</v>
      </c>
    </row>
    <row r="7" spans="1:8" x14ac:dyDescent="0.25">
      <c r="A7" s="3">
        <v>45726</v>
      </c>
      <c r="B7" s="4" t="s">
        <v>20</v>
      </c>
      <c r="C7" s="5">
        <v>-100000</v>
      </c>
      <c r="D7" s="4"/>
      <c r="E7" s="4" t="s">
        <v>19</v>
      </c>
    </row>
    <row r="8" spans="1:8" x14ac:dyDescent="0.25">
      <c r="A8" s="3">
        <v>45726</v>
      </c>
      <c r="B8" s="4" t="s">
        <v>20</v>
      </c>
      <c r="C8" s="5">
        <v>-100000</v>
      </c>
      <c r="D8" s="4"/>
      <c r="E8" s="4" t="s">
        <v>19</v>
      </c>
    </row>
    <row r="9" spans="1:8" x14ac:dyDescent="0.25">
      <c r="A9" s="3">
        <v>45726</v>
      </c>
      <c r="B9" s="4" t="s">
        <v>20</v>
      </c>
      <c r="C9" s="5">
        <v>-100000</v>
      </c>
      <c r="D9" s="4"/>
      <c r="E9" s="4" t="s">
        <v>19</v>
      </c>
    </row>
    <row r="10" spans="1:8" x14ac:dyDescent="0.25">
      <c r="A10" s="3">
        <v>45726</v>
      </c>
      <c r="B10" s="4" t="s">
        <v>20</v>
      </c>
      <c r="C10" s="5">
        <v>-93451.86</v>
      </c>
      <c r="D10" s="4"/>
      <c r="E10" s="4" t="s">
        <v>19</v>
      </c>
    </row>
    <row r="12" spans="1:8" ht="18.75" x14ac:dyDescent="0.3">
      <c r="A12" s="16" t="s">
        <v>17</v>
      </c>
      <c r="B12" s="16"/>
      <c r="C12" s="16"/>
      <c r="D12" s="16"/>
      <c r="E12" s="16"/>
    </row>
    <row r="13" spans="1:8" x14ac:dyDescent="0.25">
      <c r="A13" s="2">
        <v>46002</v>
      </c>
      <c r="B13" s="1" t="s">
        <v>5</v>
      </c>
      <c r="C13" s="1">
        <v>747.5</v>
      </c>
      <c r="D13" s="1" t="s">
        <v>6</v>
      </c>
      <c r="E13" s="1" t="s">
        <v>7</v>
      </c>
    </row>
    <row r="14" spans="1:8" x14ac:dyDescent="0.25">
      <c r="A14" s="9">
        <v>45978</v>
      </c>
      <c r="B14" s="10" t="s">
        <v>5</v>
      </c>
      <c r="C14" s="10">
        <v>1000</v>
      </c>
      <c r="D14" s="10" t="s">
        <v>6</v>
      </c>
      <c r="E14" s="10" t="s">
        <v>8</v>
      </c>
    </row>
    <row r="15" spans="1:8" x14ac:dyDescent="0.25">
      <c r="A15" s="2">
        <v>45972</v>
      </c>
      <c r="B15" s="1" t="s">
        <v>5</v>
      </c>
      <c r="C15" s="1">
        <v>747.5</v>
      </c>
      <c r="D15" s="1" t="s">
        <v>6</v>
      </c>
      <c r="E15" s="1" t="s">
        <v>7</v>
      </c>
    </row>
    <row r="16" spans="1:8" x14ac:dyDescent="0.25">
      <c r="A16" s="2">
        <v>45943</v>
      </c>
      <c r="B16" s="1" t="s">
        <v>5</v>
      </c>
      <c r="C16" s="1">
        <v>747.5</v>
      </c>
      <c r="D16" s="1" t="s">
        <v>6</v>
      </c>
      <c r="E16" s="1" t="s">
        <v>7</v>
      </c>
    </row>
    <row r="17" spans="1:6" x14ac:dyDescent="0.25">
      <c r="A17" s="2">
        <v>45911</v>
      </c>
      <c r="B17" s="1" t="s">
        <v>5</v>
      </c>
      <c r="C17" s="1">
        <v>747.5</v>
      </c>
      <c r="D17" s="1" t="s">
        <v>6</v>
      </c>
      <c r="E17" s="1" t="s">
        <v>7</v>
      </c>
    </row>
    <row r="18" spans="1:6" x14ac:dyDescent="0.25">
      <c r="A18" s="2">
        <v>45880</v>
      </c>
      <c r="B18" s="1" t="s">
        <v>5</v>
      </c>
      <c r="C18" s="1">
        <v>1047.5</v>
      </c>
      <c r="D18" s="1" t="s">
        <v>6</v>
      </c>
      <c r="E18" s="1" t="s">
        <v>9</v>
      </c>
      <c r="F18" s="1" t="s">
        <v>23</v>
      </c>
    </row>
    <row r="19" spans="1:6" x14ac:dyDescent="0.25">
      <c r="A19" s="9">
        <v>45877</v>
      </c>
      <c r="B19" s="10" t="s">
        <v>5</v>
      </c>
      <c r="C19" s="10">
        <v>777.29</v>
      </c>
      <c r="D19" s="10" t="s">
        <v>10</v>
      </c>
      <c r="E19" s="10" t="s">
        <v>11</v>
      </c>
    </row>
    <row r="20" spans="1:6" x14ac:dyDescent="0.25">
      <c r="A20" s="2">
        <v>45859</v>
      </c>
      <c r="B20" s="1" t="s">
        <v>5</v>
      </c>
      <c r="C20" s="1">
        <v>1047.5</v>
      </c>
      <c r="D20" s="1" t="s">
        <v>10</v>
      </c>
      <c r="E20" s="1" t="s">
        <v>12</v>
      </c>
      <c r="F20" s="1" t="s">
        <v>23</v>
      </c>
    </row>
    <row r="21" spans="1:6" x14ac:dyDescent="0.25">
      <c r="A21" s="3">
        <v>45714</v>
      </c>
      <c r="B21" s="4" t="s">
        <v>5</v>
      </c>
      <c r="C21" s="4">
        <v>-10000</v>
      </c>
      <c r="D21" s="4" t="s">
        <v>22</v>
      </c>
      <c r="E21" s="4" t="s">
        <v>14</v>
      </c>
    </row>
    <row r="22" spans="1:6" x14ac:dyDescent="0.25">
      <c r="A22" s="3">
        <v>45714</v>
      </c>
      <c r="B22" s="4" t="s">
        <v>5</v>
      </c>
      <c r="C22" s="4">
        <v>-5000</v>
      </c>
      <c r="D22" s="4" t="s">
        <v>22</v>
      </c>
      <c r="E22" s="4" t="s">
        <v>14</v>
      </c>
    </row>
    <row r="24" spans="1:6" ht="18.75" x14ac:dyDescent="0.3">
      <c r="A24" s="16" t="s">
        <v>18</v>
      </c>
      <c r="B24" s="16"/>
      <c r="C24" s="16"/>
      <c r="D24" s="16"/>
      <c r="E24" s="16"/>
    </row>
    <row r="25" spans="1:6" x14ac:dyDescent="0.25">
      <c r="A25" s="9">
        <v>46014</v>
      </c>
      <c r="B25" s="10" t="s">
        <v>15</v>
      </c>
      <c r="C25" s="11">
        <v>20000</v>
      </c>
      <c r="D25" s="10" t="s">
        <v>13</v>
      </c>
      <c r="E25" s="10" t="s">
        <v>13</v>
      </c>
    </row>
    <row r="26" spans="1:6" x14ac:dyDescent="0.25">
      <c r="A26" s="9">
        <v>46014</v>
      </c>
      <c r="B26" s="10" t="s">
        <v>15</v>
      </c>
      <c r="C26" s="11">
        <v>207000</v>
      </c>
      <c r="D26" s="10" t="s">
        <v>13</v>
      </c>
      <c r="E26" s="10" t="s">
        <v>13</v>
      </c>
    </row>
    <row r="27" spans="1:6" x14ac:dyDescent="0.25">
      <c r="A27" s="9">
        <v>46014</v>
      </c>
      <c r="B27" s="10" t="s">
        <v>15</v>
      </c>
      <c r="C27" s="11">
        <v>219997.84</v>
      </c>
      <c r="D27" s="10" t="s">
        <v>13</v>
      </c>
      <c r="E27" s="10" t="s">
        <v>13</v>
      </c>
    </row>
    <row r="28" spans="1:6" x14ac:dyDescent="0.25">
      <c r="A28" s="2">
        <v>46001</v>
      </c>
      <c r="B28" s="1" t="s">
        <v>15</v>
      </c>
      <c r="C28" s="1">
        <v>300</v>
      </c>
      <c r="D28" s="1" t="s">
        <v>6</v>
      </c>
      <c r="E28" s="1" t="s">
        <v>16</v>
      </c>
    </row>
    <row r="29" spans="1:6" x14ac:dyDescent="0.25">
      <c r="A29" s="2">
        <v>45971</v>
      </c>
      <c r="B29" s="1" t="s">
        <v>15</v>
      </c>
      <c r="C29" s="1">
        <v>300</v>
      </c>
      <c r="D29" s="1" t="s">
        <v>6</v>
      </c>
      <c r="E29" s="1" t="s">
        <v>16</v>
      </c>
    </row>
    <row r="30" spans="1:6" x14ac:dyDescent="0.25">
      <c r="A30" s="2">
        <v>45941</v>
      </c>
      <c r="B30" s="1" t="s">
        <v>15</v>
      </c>
      <c r="C30" s="1">
        <v>300</v>
      </c>
      <c r="D30" s="1" t="s">
        <v>6</v>
      </c>
      <c r="E30" s="1" t="s">
        <v>16</v>
      </c>
    </row>
    <row r="31" spans="1:6" x14ac:dyDescent="0.25">
      <c r="A31" s="9">
        <v>45929</v>
      </c>
      <c r="B31" s="10" t="s">
        <v>15</v>
      </c>
      <c r="C31" s="10">
        <v>64500</v>
      </c>
      <c r="D31" s="10" t="s">
        <v>13</v>
      </c>
      <c r="E31" s="10" t="s">
        <v>13</v>
      </c>
    </row>
    <row r="32" spans="1:6" x14ac:dyDescent="0.25">
      <c r="A32" s="2">
        <v>45911</v>
      </c>
      <c r="B32" s="1" t="s">
        <v>15</v>
      </c>
      <c r="C32" s="1">
        <v>300</v>
      </c>
      <c r="D32" s="1" t="s">
        <v>6</v>
      </c>
      <c r="E32" s="1" t="s">
        <v>16</v>
      </c>
    </row>
    <row r="34" spans="1:6" ht="18.75" x14ac:dyDescent="0.3">
      <c r="A34" s="16" t="s">
        <v>25</v>
      </c>
      <c r="B34" s="16"/>
      <c r="C34" s="16"/>
      <c r="D34" s="16"/>
      <c r="E34" s="16"/>
    </row>
    <row r="35" spans="1:6" x14ac:dyDescent="0.25">
      <c r="A35" s="3">
        <f>A4</f>
        <v>45715</v>
      </c>
      <c r="B35" s="3" t="str">
        <f t="shared" ref="B35:E35" si="0">B4</f>
        <v>U6361921</v>
      </c>
      <c r="C35" s="5">
        <f t="shared" si="0"/>
        <v>-19664.29</v>
      </c>
      <c r="D35" s="4"/>
      <c r="E35" s="3" t="str">
        <f t="shared" si="0"/>
        <v>Internal Transfer Out To Account U17419949</v>
      </c>
    </row>
    <row r="36" spans="1:6" x14ac:dyDescent="0.25">
      <c r="A36" s="3">
        <f t="shared" ref="A36:E36" si="1">A5</f>
        <v>45720</v>
      </c>
      <c r="B36" s="3" t="str">
        <f t="shared" si="1"/>
        <v>U6361921</v>
      </c>
      <c r="C36" s="5">
        <f t="shared" si="1"/>
        <v>-36303.32</v>
      </c>
      <c r="D36" s="4"/>
      <c r="E36" s="3" t="str">
        <f t="shared" si="1"/>
        <v>Internal Transfer Out To Account U17419949</v>
      </c>
    </row>
    <row r="37" spans="1:6" x14ac:dyDescent="0.25">
      <c r="A37" s="3">
        <f t="shared" ref="A37:E37" si="2">A6</f>
        <v>45720</v>
      </c>
      <c r="B37" s="3" t="str">
        <f t="shared" si="2"/>
        <v>U6361921</v>
      </c>
      <c r="C37" s="5">
        <f t="shared" si="2"/>
        <v>-49586.15</v>
      </c>
      <c r="D37" s="4"/>
      <c r="E37" s="3" t="str">
        <f t="shared" si="2"/>
        <v>Internal Transfer Out To Account U17419949</v>
      </c>
    </row>
    <row r="38" spans="1:6" x14ac:dyDescent="0.25">
      <c r="A38" s="3">
        <f t="shared" ref="A38:E38" si="3">A7</f>
        <v>45726</v>
      </c>
      <c r="B38" s="3" t="str">
        <f t="shared" si="3"/>
        <v>U6361921</v>
      </c>
      <c r="C38" s="5">
        <f t="shared" si="3"/>
        <v>-100000</v>
      </c>
      <c r="D38" s="4"/>
      <c r="E38" s="3" t="str">
        <f t="shared" si="3"/>
        <v>Internal Transfer Out To Account U17419949</v>
      </c>
    </row>
    <row r="39" spans="1:6" x14ac:dyDescent="0.25">
      <c r="A39" s="3">
        <f t="shared" ref="A39:E39" si="4">A8</f>
        <v>45726</v>
      </c>
      <c r="B39" s="3" t="str">
        <f t="shared" si="4"/>
        <v>U6361921</v>
      </c>
      <c r="C39" s="5">
        <f t="shared" si="4"/>
        <v>-100000</v>
      </c>
      <c r="D39" s="4"/>
      <c r="E39" s="3" t="str">
        <f t="shared" si="4"/>
        <v>Internal Transfer Out To Account U17419949</v>
      </c>
    </row>
    <row r="40" spans="1:6" x14ac:dyDescent="0.25">
      <c r="A40" s="3">
        <f t="shared" ref="A40:E41" si="5">A9</f>
        <v>45726</v>
      </c>
      <c r="B40" s="3" t="str">
        <f t="shared" si="5"/>
        <v>U6361921</v>
      </c>
      <c r="C40" s="5">
        <f t="shared" si="5"/>
        <v>-100000</v>
      </c>
      <c r="D40" s="4"/>
      <c r="E40" s="3" t="str">
        <f t="shared" si="5"/>
        <v>Internal Transfer Out To Account U17419949</v>
      </c>
      <c r="F40" s="1" t="s">
        <v>24</v>
      </c>
    </row>
    <row r="41" spans="1:6" x14ac:dyDescent="0.25">
      <c r="A41" s="3">
        <f t="shared" si="5"/>
        <v>45726</v>
      </c>
      <c r="B41" s="3" t="str">
        <f t="shared" si="5"/>
        <v>U6361921</v>
      </c>
      <c r="C41" s="5">
        <f t="shared" si="5"/>
        <v>-93451.86</v>
      </c>
      <c r="D41" s="4"/>
      <c r="E41" s="3" t="str">
        <f t="shared" si="5"/>
        <v>Internal Transfer Out To Account U17419949</v>
      </c>
    </row>
    <row r="42" spans="1:6" x14ac:dyDescent="0.25">
      <c r="A42" s="3">
        <f>A21</f>
        <v>45714</v>
      </c>
      <c r="B42" s="3" t="str">
        <f t="shared" ref="B42:E43" si="6">B21</f>
        <v>20-32-06 63017885</v>
      </c>
      <c r="C42" s="5">
        <f t="shared" si="6"/>
        <v>-10000</v>
      </c>
      <c r="D42" s="3" t="str">
        <f t="shared" si="6"/>
        <v>Owners loan</v>
      </c>
      <c r="E42" s="3" t="str">
        <f t="shared" si="6"/>
        <v xml:space="preserve">CAESARIS DENARII L    	DIRECTOR FT	</v>
      </c>
    </row>
    <row r="43" spans="1:6" x14ac:dyDescent="0.25">
      <c r="A43" s="7">
        <f>A22</f>
        <v>45714</v>
      </c>
      <c r="B43" s="7" t="str">
        <f t="shared" si="6"/>
        <v>20-32-06 63017885</v>
      </c>
      <c r="C43" s="14">
        <f t="shared" si="6"/>
        <v>-5000</v>
      </c>
      <c r="D43" s="7" t="str">
        <f t="shared" si="6"/>
        <v>Owners loan</v>
      </c>
      <c r="E43" s="7" t="str">
        <f t="shared" si="6"/>
        <v xml:space="preserve">CAESARIS DENARII L    	DIRECTOR FT	</v>
      </c>
    </row>
    <row r="44" spans="1:6" x14ac:dyDescent="0.25">
      <c r="A44" s="4"/>
      <c r="B44" s="4"/>
      <c r="C44" s="5">
        <f>SUM(C35:C43)</f>
        <v>-514005.62</v>
      </c>
      <c r="D44" s="4"/>
      <c r="E44" s="4"/>
    </row>
    <row r="46" spans="1:6" ht="18.75" x14ac:dyDescent="0.3">
      <c r="A46" s="16" t="s">
        <v>26</v>
      </c>
      <c r="B46" s="16"/>
      <c r="C46" s="16"/>
      <c r="D46" s="16"/>
      <c r="E46" s="16"/>
    </row>
    <row r="47" spans="1:6" x14ac:dyDescent="0.25">
      <c r="A47" s="9">
        <f>A14</f>
        <v>45978</v>
      </c>
      <c r="B47" s="9" t="str">
        <f t="shared" ref="B47:E47" si="7">B14</f>
        <v>20-32-06 63017885</v>
      </c>
      <c r="C47" s="11">
        <f t="shared" si="7"/>
        <v>1000</v>
      </c>
      <c r="D47" s="9" t="str">
        <f t="shared" si="7"/>
        <v>Counter Credit</v>
      </c>
      <c r="E47" s="9" t="str">
        <f t="shared" si="7"/>
        <v>Caesaris Denarii L    	CAESARIS DENARII L BG</v>
      </c>
    </row>
    <row r="48" spans="1:6" x14ac:dyDescent="0.25">
      <c r="A48" s="9">
        <f>A19</f>
        <v>45877</v>
      </c>
      <c r="B48" s="9" t="str">
        <f t="shared" ref="B48:E48" si="8">B19</f>
        <v>20-32-06 63017885</v>
      </c>
      <c r="C48" s="11">
        <f t="shared" si="8"/>
        <v>777.29</v>
      </c>
      <c r="D48" s="9" t="str">
        <f t="shared" si="8"/>
        <v>Bill Payment</v>
      </c>
      <c r="E48" s="9" t="str">
        <f t="shared" si="8"/>
        <v xml:space="preserve">CAESARIS DE LTD       	DIRECTOR LOAN BBP	</v>
      </c>
    </row>
    <row r="49" spans="1:5" x14ac:dyDescent="0.25">
      <c r="A49" s="9">
        <f>A25</f>
        <v>46014</v>
      </c>
      <c r="B49" s="9" t="str">
        <f t="shared" ref="B49:E49" si="9">B25</f>
        <v>23-14-70 96285266</v>
      </c>
      <c r="C49" s="11">
        <f t="shared" si="9"/>
        <v>20000</v>
      </c>
      <c r="D49" s="9" t="str">
        <f t="shared" si="9"/>
        <v>Owners loan repayment</v>
      </c>
      <c r="E49" s="9" t="str">
        <f t="shared" si="9"/>
        <v>Owners loan repayment</v>
      </c>
    </row>
    <row r="50" spans="1:5" x14ac:dyDescent="0.25">
      <c r="A50" s="9">
        <f t="shared" ref="A50:E50" si="10">A26</f>
        <v>46014</v>
      </c>
      <c r="B50" s="9" t="str">
        <f t="shared" si="10"/>
        <v>23-14-70 96285266</v>
      </c>
      <c r="C50" s="11">
        <f t="shared" si="10"/>
        <v>207000</v>
      </c>
      <c r="D50" s="9" t="str">
        <f t="shared" si="10"/>
        <v>Owners loan repayment</v>
      </c>
      <c r="E50" s="9" t="str">
        <f t="shared" si="10"/>
        <v>Owners loan repayment</v>
      </c>
    </row>
    <row r="51" spans="1:5" x14ac:dyDescent="0.25">
      <c r="A51" s="9">
        <f t="shared" ref="A51:E51" si="11">A27</f>
        <v>46014</v>
      </c>
      <c r="B51" s="9" t="str">
        <f t="shared" si="11"/>
        <v>23-14-70 96285266</v>
      </c>
      <c r="C51" s="11">
        <f t="shared" si="11"/>
        <v>219997.84</v>
      </c>
      <c r="D51" s="9" t="str">
        <f t="shared" si="11"/>
        <v>Owners loan repayment</v>
      </c>
      <c r="E51" s="9" t="str">
        <f t="shared" si="11"/>
        <v>Owners loan repayment</v>
      </c>
    </row>
    <row r="52" spans="1:5" x14ac:dyDescent="0.25">
      <c r="A52" s="12">
        <f>A31</f>
        <v>45929</v>
      </c>
      <c r="B52" s="12" t="str">
        <f t="shared" ref="B52:E52" si="12">B31</f>
        <v>23-14-70 96285266</v>
      </c>
      <c r="C52" s="13">
        <f t="shared" si="12"/>
        <v>64500</v>
      </c>
      <c r="D52" s="12" t="str">
        <f t="shared" si="12"/>
        <v>Owners loan repayment</v>
      </c>
      <c r="E52" s="12" t="str">
        <f t="shared" si="12"/>
        <v>Owners loan repayment</v>
      </c>
    </row>
    <row r="53" spans="1:5" x14ac:dyDescent="0.25">
      <c r="A53" s="10"/>
      <c r="B53" s="10"/>
      <c r="C53" s="11">
        <f>SUM(C47:C52)</f>
        <v>513275.13</v>
      </c>
      <c r="D53" s="10"/>
      <c r="E53" s="10"/>
    </row>
    <row r="55" spans="1:5" x14ac:dyDescent="0.25">
      <c r="C55" s="15">
        <f>C44+C53</f>
        <v>-730.48999999999069</v>
      </c>
    </row>
  </sheetData>
  <mergeCells count="5">
    <mergeCell ref="A12:E12"/>
    <mergeCell ref="A24:E24"/>
    <mergeCell ref="A3:E3"/>
    <mergeCell ref="A34:E34"/>
    <mergeCell ref="A46:E46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7A57-E2CC-4181-8880-758B5B826652}">
  <dimension ref="A1"/>
  <sheetViews>
    <sheetView workbookViewId="0">
      <selection sqref="A1:F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owners loan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de Queiroz</dc:creator>
  <cp:lastModifiedBy>Allan de Queiroz</cp:lastModifiedBy>
  <dcterms:created xsi:type="dcterms:W3CDTF">2025-12-15T15:31:19Z</dcterms:created>
  <dcterms:modified xsi:type="dcterms:W3CDTF">2026-01-30T11:53:57Z</dcterms:modified>
</cp:coreProperties>
</file>